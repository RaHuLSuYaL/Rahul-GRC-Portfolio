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Dashboard" sheetId="1" r:id="rId5"/>
    <sheet state="visible" name="📋 Phase 1" sheetId="2" r:id="rId6"/>
    <sheet state="visible" name="📋 Phase 2" sheetId="3" r:id="rId7"/>
    <sheet state="visible" name="📋 Phase 3" sheetId="4" r:id="rId8"/>
    <sheet state="visible" name="📋 Phase 4" sheetId="5" r:id="rId9"/>
    <sheet state="visible" name="👥 RACI" sheetId="6" r:id="rId10"/>
    <sheet state="visible" name="📊 KPIs &amp; Metrics" sheetId="7" r:id="rId11"/>
    <sheet state="visible" name="⚠️ Risk Register" sheetId="8" r:id="rId12"/>
    <sheet state="visible" name="💬 Comms Log" sheetId="9" r:id="rId13"/>
  </sheets>
  <definedNames/>
  <calcPr/>
</workbook>
</file>

<file path=xl/sharedStrings.xml><?xml version="1.0" encoding="utf-8"?>
<sst xmlns="http://schemas.openxmlformats.org/spreadsheetml/2006/main" count="783" uniqueCount="404">
  <si>
    <t>CUSTOMER ONBOARDING TRACKER  |  Compliance Automation Platform</t>
  </si>
  <si>
    <t>Complete all [placeholder] fields before sharing with the customer</t>
  </si>
  <si>
    <t>CUSTOMER INFORMATION</t>
  </si>
  <si>
    <t>ONBOARDING CONTACTS</t>
  </si>
  <si>
    <t>Customer Name</t>
  </si>
  <si>
    <t>[Customer Organization]</t>
  </si>
  <si>
    <t>Customer Champion</t>
  </si>
  <si>
    <t>[Name — Title — Email]</t>
  </si>
  <si>
    <t>Target Framework(s)</t>
  </si>
  <si>
    <t>[SOC 2 / ISO 27001 / HIPAA / etc.]</t>
  </si>
  <si>
    <t>Technical Lead</t>
  </si>
  <si>
    <t>Subscription Tier</t>
  </si>
  <si>
    <t>[Starter / Growth / Enterprise]</t>
  </si>
  <si>
    <t>Exec Sponsor</t>
  </si>
  <si>
    <t>Onboarding Start</t>
  </si>
  <si>
    <t>[DD-MMM-YYYY]</t>
  </si>
  <si>
    <t>CSM (Platform)</t>
  </si>
  <si>
    <t>[Name — Email]</t>
  </si>
  <si>
    <t>Target Go-Live</t>
  </si>
  <si>
    <t>Solutions Engineer</t>
  </si>
  <si>
    <t>Contract End Date</t>
  </si>
  <si>
    <t>Support Alias</t>
  </si>
  <si>
    <t>[support@platform.com]</t>
  </si>
  <si>
    <t>PHASE PROGRESS SUMMARY</t>
  </si>
  <si>
    <t>Phase</t>
  </si>
  <si>
    <t>Name</t>
  </si>
  <si>
    <t>Duration</t>
  </si>
  <si>
    <t>Total Tasks</t>
  </si>
  <si>
    <t>Complete</t>
  </si>
  <si>
    <t>In Progress</t>
  </si>
  <si>
    <t>Not Started</t>
  </si>
  <si>
    <t>Completion %</t>
  </si>
  <si>
    <t>Status</t>
  </si>
  <si>
    <t>Phase 1</t>
  </si>
  <si>
    <t>Kickoff &amp; Discovery</t>
  </si>
  <si>
    <t>Week 1–2</t>
  </si>
  <si>
    <t>Phase 2</t>
  </si>
  <si>
    <t>Platform Setup &amp; Integration</t>
  </si>
  <si>
    <t>Week 3–5</t>
  </si>
  <si>
    <t>Phase 3</t>
  </si>
  <si>
    <t>Control Implementation &amp; Training</t>
  </si>
  <si>
    <t>Week 6–9</t>
  </si>
  <si>
    <t>Phase 4</t>
  </si>
  <si>
    <t>Audit Readiness &amp; Handover</t>
  </si>
  <si>
    <t>Week 10–12</t>
  </si>
  <si>
    <t>OVERALL ONBOARDING COMPLETION</t>
  </si>
  <si>
    <t>KEY MILESTONES</t>
  </si>
  <si>
    <t>#</t>
  </si>
  <si>
    <t>Milestone</t>
  </si>
  <si>
    <t>Target Date</t>
  </si>
  <si>
    <t>Actual Date</t>
  </si>
  <si>
    <t>Owner</t>
  </si>
  <si>
    <t>Notes</t>
  </si>
  <si>
    <t>M1</t>
  </si>
  <si>
    <t>Kickoff call completed &amp; onboarding plan signed</t>
  </si>
  <si>
    <t>[Week 1]</t>
  </si>
  <si>
    <t>[CSM]</t>
  </si>
  <si>
    <t>⬜ Not Started</t>
  </si>
  <si>
    <t>M2</t>
  </si>
  <si>
    <t>Platform tenant provisioned &amp; SSO configured</t>
  </si>
  <si>
    <t>[Week 2]</t>
  </si>
  <si>
    <t>[SE]</t>
  </si>
  <si>
    <t>M3</t>
  </si>
  <si>
    <t>All integrations live &amp; evidence collection active</t>
  </si>
  <si>
    <t>[Week 5]</t>
  </si>
  <si>
    <t>M4</t>
  </si>
  <si>
    <t>100% controls mapped with owners assigned</t>
  </si>
  <si>
    <t>[Week 7]</t>
  </si>
  <si>
    <t>[Champion]</t>
  </si>
  <si>
    <t>M5</t>
  </si>
  <si>
    <t>Employee training &gt;90% completion</t>
  </si>
  <si>
    <t>[Week 9]</t>
  </si>
  <si>
    <t>M6</t>
  </si>
  <si>
    <t>Audit-ready evidence package compiled</t>
  </si>
  <si>
    <t>[Week 11]</t>
  </si>
  <si>
    <t>M7</t>
  </si>
  <si>
    <t>Auditor portal configured &amp; read-only access shared</t>
  </si>
  <si>
    <t>M8</t>
  </si>
  <si>
    <t>Go-live sign-off received from customer</t>
  </si>
  <si>
    <t>[Week 12]</t>
  </si>
  <si>
    <t>PHASE 1  —  Kickoff &amp; Discovery  |  Week 1–2</t>
  </si>
  <si>
    <t>Activity / Task</t>
  </si>
  <si>
    <t>Category</t>
  </si>
  <si>
    <t>Start Week</t>
  </si>
  <si>
    <t>End Week</t>
  </si>
  <si>
    <t>Priority</t>
  </si>
  <si>
    <t>Notes / Blockers</t>
  </si>
  <si>
    <t>Evidence / Artifact</t>
  </si>
  <si>
    <t>1.1</t>
  </si>
  <si>
    <t>Executive kickoff call — align on goals, timelines, success metrics</t>
  </si>
  <si>
    <t>Kickoff</t>
  </si>
  <si>
    <t>🔴 High</t>
  </si>
  <si>
    <t>[Meeting notes, signed onboarding plan]</t>
  </si>
  <si>
    <t>1.2</t>
  </si>
  <si>
    <t>Technical discovery session — inventory tech stack &amp; integration readiness</t>
  </si>
  <si>
    <t>Discovery</t>
  </si>
  <si>
    <t>[Tech stack inventory sheet]</t>
  </si>
  <si>
    <t>1.3</t>
  </si>
  <si>
    <t>Identify &amp; confirm compliance champion, tech owner, executive sponsor</t>
  </si>
  <si>
    <t>Stakeholders</t>
  </si>
  <si>
    <t>[RACI sign-off email]</t>
  </si>
  <si>
    <t>1.4</t>
  </si>
  <si>
    <t>Provision platform tenant — configure SSO and initial user roles</t>
  </si>
  <si>
    <t>Setup</t>
  </si>
  <si>
    <t>[Tenant URL + admin credentials]</t>
  </si>
  <si>
    <t>1.5</t>
  </si>
  <si>
    <t>Send onboarding checklist and assign workstream owners</t>
  </si>
  <si>
    <t>Admin</t>
  </si>
  <si>
    <t>🟡 Medium</t>
  </si>
  <si>
    <t>[Checklist shared via email/Slack]</t>
  </si>
  <si>
    <t>1.6</t>
  </si>
  <si>
    <t>Initial gap assessment walkthrough — review current compliance posture</t>
  </si>
  <si>
    <t>Assessment</t>
  </si>
  <si>
    <t>[CSM + SE]</t>
  </si>
  <si>
    <t>[Gap assessment report]</t>
  </si>
  <si>
    <t>1.7</t>
  </si>
  <si>
    <t>Share this onboarding tracker with customer champion for alignment</t>
  </si>
  <si>
    <t>[Shared tracker link / email]</t>
  </si>
  <si>
    <t>PHASE TOTALS — 7 Tasks</t>
  </si>
  <si>
    <t>PHASE 2  —  Platform Setup &amp; Integration  |  Week 3–5</t>
  </si>
  <si>
    <t>2.1</t>
  </si>
  <si>
    <t>Connect cloud integration — AWS / GCP / Azure (auto-evidence collection)</t>
  </si>
  <si>
    <t>Integration</t>
  </si>
  <si>
    <t>[Integration status screenshot]</t>
  </si>
  <si>
    <t>2.2</t>
  </si>
  <si>
    <t>Configure IdP integration (Okta / Azure AD / Google Workspace)</t>
  </si>
  <si>
    <t>[SE + Tech Lead]</t>
  </si>
  <si>
    <t>[IdP connection confirmed]</t>
  </si>
  <si>
    <t>2.3</t>
  </si>
  <si>
    <t>Set up MDM connector (Jamf / Intune / Kandji) for endpoint compliance</t>
  </si>
  <si>
    <t>[MDM sync active]</t>
  </si>
  <si>
    <t>2.4</t>
  </si>
  <si>
    <t>Connect HRMS / People Ops tool for employee training sync</t>
  </si>
  <si>
    <t>[HRMS sync confirmed, employee list imported]</t>
  </si>
  <si>
    <t>2.5</t>
  </si>
  <si>
    <t>Import &amp; map organizational structure (departments, teams, roles)</t>
  </si>
  <si>
    <t>Configuration</t>
  </si>
  <si>
    <t>[Org chart in platform]</t>
  </si>
  <si>
    <t>2.6</t>
  </si>
  <si>
    <t>Configure framework scope — select applicable controls for target framework</t>
  </si>
  <si>
    <t>[Champion + SE]</t>
  </si>
  <si>
    <t>[Scope document signed off]</t>
  </si>
  <si>
    <t>2.7</t>
  </si>
  <si>
    <t>Upload existing policies; run AI-assisted policy gap analysis</t>
  </si>
  <si>
    <t>Policy</t>
  </si>
  <si>
    <t>[Policies uploaded, gap report reviewed]</t>
  </si>
  <si>
    <t>2.8</t>
  </si>
  <si>
    <t>Configure evidence collection schedules and data retention settings</t>
  </si>
  <si>
    <t>[Collection schedule configured]</t>
  </si>
  <si>
    <t>PHASE TOTALS — 8 Tasks</t>
  </si>
  <si>
    <t>PHASE 3  —  Control Implementation &amp; Training  |  Week 6–9</t>
  </si>
  <si>
    <t>3.1</t>
  </si>
  <si>
    <t>Control mapping — assign each in-scope control to an owner</t>
  </si>
  <si>
    <t>Controls</t>
  </si>
  <si>
    <t>[Control ownership matrix]</t>
  </si>
  <si>
    <t>3.2</t>
  </si>
  <si>
    <t>Validate auto-evidence collection is working for each control</t>
  </si>
  <si>
    <t>[SE + Champion]</t>
  </si>
  <si>
    <t>[Evidence collection audit log]</t>
  </si>
  <si>
    <t>3.3</t>
  </si>
  <si>
    <t>Policy acknowledgment campaign — launch employee sign-off workflows</t>
  </si>
  <si>
    <t>[Acknowledgment completion report]</t>
  </si>
  <si>
    <t>3.4</t>
  </si>
  <si>
    <t>Security awareness training — assign, launch, and track completion</t>
  </si>
  <si>
    <t>Training</t>
  </si>
  <si>
    <t>[CSM + Champion]</t>
  </si>
  <si>
    <t>[Training completion report &gt;90%]</t>
  </si>
  <si>
    <t>3.5</t>
  </si>
  <si>
    <t>Vendor / TPRM — import vendor list and send risk assessments</t>
  </si>
  <si>
    <t>TPRM</t>
  </si>
  <si>
    <t>[Vendor assessments sent &amp; tracked]</t>
  </si>
  <si>
    <t>3.6</t>
  </si>
  <si>
    <t>Risk register setup — document risks, likelihood, impact, treatment plans</t>
  </si>
  <si>
    <t>Risk</t>
  </si>
  <si>
    <t>[Risk register populated &amp; reviewed]</t>
  </si>
  <si>
    <t>3.7</t>
  </si>
  <si>
    <t>Internal audit readiness walkthrough — identify and assign evidence gaps</t>
  </si>
  <si>
    <t>Audit</t>
  </si>
  <si>
    <t>[Gap list with owner &amp; due date]</t>
  </si>
  <si>
    <t>3.8</t>
  </si>
  <si>
    <t>Close all open evidence gaps from internal walkthrough</t>
  </si>
  <si>
    <t>[All gaps resolved or risk-accepted]</t>
  </si>
  <si>
    <t>PHASE 4  —  Audit Readiness &amp; Handover  |  Week 10–12</t>
  </si>
  <si>
    <t>4.1</t>
  </si>
  <si>
    <t>Generate full compliance readiness report — review platform trust score</t>
  </si>
  <si>
    <t>[Readiness report (&gt;85% score)]</t>
  </si>
  <si>
    <t>4.2</t>
  </si>
  <si>
    <t>Configure auditor portal — set up read-only auditor access</t>
  </si>
  <si>
    <t>[Auditor login confirmed]</t>
  </si>
  <si>
    <t>4.3</t>
  </si>
  <si>
    <t>Export evidence package — compile complete audit artifact bundle</t>
  </si>
  <si>
    <t>[Evidence bundle ZIP / folder link]</t>
  </si>
  <si>
    <t>4.4</t>
  </si>
  <si>
    <t>Review and close all open exceptions and remediation items</t>
  </si>
  <si>
    <t>[Exceptions log — all resolved/accepted]</t>
  </si>
  <si>
    <t>4.5</t>
  </si>
  <si>
    <t>Customer admin training — platform admin, user management, reporting</t>
  </si>
  <si>
    <t>[SE + CSM]</t>
  </si>
  <si>
    <t>[Training recording + user guide]</t>
  </si>
  <si>
    <t>4.6</t>
  </si>
  <si>
    <t>Introduce ongoing success model — QBR cadence, support channels, SLAs</t>
  </si>
  <si>
    <t>Handover</t>
  </si>
  <si>
    <t>[Ongoing success playbook shared]</t>
  </si>
  <si>
    <t>4.7</t>
  </si>
  <si>
    <t>Formal go-live sign-off — customer signature on onboarding completion</t>
  </si>
  <si>
    <t>[Signed go-live acceptance form]</t>
  </si>
  <si>
    <t>4.8</t>
  </si>
  <si>
    <t>Transition to steady-state success — hand off to ongoing CSM rhythm</t>
  </si>
  <si>
    <t>[First QBR date scheduled]</t>
  </si>
  <si>
    <t>RACI MATRIX  —  Roles &amp; Responsibilities</t>
  </si>
  <si>
    <t>R</t>
  </si>
  <si>
    <t xml:space="preserve">  Responsible</t>
  </si>
  <si>
    <t>A</t>
  </si>
  <si>
    <t xml:space="preserve">  Accountable</t>
  </si>
  <si>
    <t>C</t>
  </si>
  <si>
    <t xml:space="preserve">  Consulted</t>
  </si>
  <si>
    <t>I</t>
  </si>
  <si>
    <t xml:space="preserve">  Informed</t>
  </si>
  <si>
    <t>Activity</t>
  </si>
  <si>
    <t>CSM</t>
  </si>
  <si>
    <t>Tech Lead</t>
  </si>
  <si>
    <t>1</t>
  </si>
  <si>
    <t>Executive kickoff call</t>
  </si>
  <si>
    <t>R/A</t>
  </si>
  <si>
    <t>Champion attends; Exec reviews output</t>
  </si>
  <si>
    <t>2</t>
  </si>
  <si>
    <t>Tenant provisioning &amp; SSO</t>
  </si>
  <si>
    <t>SE leads; champion provides IdP details</t>
  </si>
  <si>
    <t>3</t>
  </si>
  <si>
    <t>Tech stack discovery &amp; integration map</t>
  </si>
  <si>
    <t>Tech lead provides credentials</t>
  </si>
  <si>
    <t>4</t>
  </si>
  <si>
    <t>Cloud integration setup</t>
  </si>
  <si>
    <t>IAM roles needed from customer cloud</t>
  </si>
  <si>
    <t>5</t>
  </si>
  <si>
    <t>IdP &amp; HRMS integration</t>
  </si>
  <si>
    <t>IdP admin access from customer IT</t>
  </si>
  <si>
    <t>6</t>
  </si>
  <si>
    <t>Framework scope definition</t>
  </si>
  <si>
    <t>Champion owns scope sign-off</t>
  </si>
  <si>
    <t>7</t>
  </si>
  <si>
    <t>Policy upload &amp; gap analysis</t>
  </si>
  <si>
    <t>Champion provides existing policies</t>
  </si>
  <si>
    <t>8</t>
  </si>
  <si>
    <t>Control ownership assignment</t>
  </si>
  <si>
    <t>Champion assigns to dept owners</t>
  </si>
  <si>
    <t>9</t>
  </si>
  <si>
    <t>Evidence collection validation</t>
  </si>
  <si>
    <t>SE verifies; tech lead checks gaps</t>
  </si>
  <si>
    <t>10</t>
  </si>
  <si>
    <t>Policy acknowledgment campaign</t>
  </si>
  <si>
    <t>HR/Ops team coordinates internally</t>
  </si>
  <si>
    <t>11</t>
  </si>
  <si>
    <t>Employee security training</t>
  </si>
  <si>
    <t>Target: &gt;90% completion by Week 9</t>
  </si>
  <si>
    <t>12</t>
  </si>
  <si>
    <t>Vendor risk assessments (TPRM)</t>
  </si>
  <si>
    <t>Champion owns vendor relationship list</t>
  </si>
  <si>
    <t>13</t>
  </si>
  <si>
    <t>Risk register population</t>
  </si>
  <si>
    <t>Exec consulted for strategic risks</t>
  </si>
  <si>
    <t>14</t>
  </si>
  <si>
    <t>Auditor portal configuration</t>
  </si>
  <si>
    <t>Auditor firm must be identified first</t>
  </si>
  <si>
    <t>15</t>
  </si>
  <si>
    <t>Evidence package compilation</t>
  </si>
  <si>
    <t>Champion owns final artifact bundle</t>
  </si>
  <si>
    <t>16</t>
  </si>
  <si>
    <t>Customer admin training</t>
  </si>
  <si>
    <t>SE leads; champion + tech lead attend</t>
  </si>
  <si>
    <t>17</t>
  </si>
  <si>
    <t>Go-live sign-off</t>
  </si>
  <si>
    <t>Executive sponsor approves go-live</t>
  </si>
  <si>
    <t>SUCCESS METRICS &amp; HEALTH INDICATORS</t>
  </si>
  <si>
    <t>Metric</t>
  </si>
  <si>
    <t>Target</t>
  </si>
  <si>
    <t>Measure By</t>
  </si>
  <si>
    <t>Actual Value</t>
  </si>
  <si>
    <t>Trend</t>
  </si>
  <si>
    <t>K1</t>
  </si>
  <si>
    <t>Platform login — minimum 3 unique users</t>
  </si>
  <si>
    <t>Adoption</t>
  </si>
  <si>
    <t>By end Week 1</t>
  </si>
  <si>
    <t>Week 1</t>
  </si>
  <si>
    <t>⬜</t>
  </si>
  <si>
    <t>K2</t>
  </si>
  <si>
    <t>Integration connections active</t>
  </si>
  <si>
    <t>100% of mapped tools</t>
  </si>
  <si>
    <t>Week 5</t>
  </si>
  <si>
    <t>K3</t>
  </si>
  <si>
    <t>Auto-evidence collection rate</t>
  </si>
  <si>
    <t>Evidence</t>
  </si>
  <si>
    <t>&gt;80% automated</t>
  </si>
  <si>
    <t>Week 8</t>
  </si>
  <si>
    <t>K4</t>
  </si>
  <si>
    <t>Controls mapped to owners</t>
  </si>
  <si>
    <t>100% in-scope controls</t>
  </si>
  <si>
    <t>Week 7</t>
  </si>
  <si>
    <t>K5</t>
  </si>
  <si>
    <t>Policy acknowledgment rate (employees)</t>
  </si>
  <si>
    <t>&gt;90% employee sign-off</t>
  </si>
  <si>
    <t>Week 9</t>
  </si>
  <si>
    <t>K6</t>
  </si>
  <si>
    <t>Security awareness training completion</t>
  </si>
  <si>
    <t>&gt;95% employees</t>
  </si>
  <si>
    <t>K7</t>
  </si>
  <si>
    <t>Vendor assessments sent (Tier 1 vendors)</t>
  </si>
  <si>
    <t>100% Tier 1 vendors</t>
  </si>
  <si>
    <t>Week 10</t>
  </si>
  <si>
    <t>K8</t>
  </si>
  <si>
    <t>Open risk items in risk register</t>
  </si>
  <si>
    <t>&lt;10 open / high risks</t>
  </si>
  <si>
    <t>K9</t>
  </si>
  <si>
    <t>Platform trust score / audit readiness %</t>
  </si>
  <si>
    <t>&gt;85% readiness score</t>
  </si>
  <si>
    <t>Week 12</t>
  </si>
  <si>
    <t>K10</t>
  </si>
  <si>
    <t>Time-to-first-audit from go-live</t>
  </si>
  <si>
    <t>&lt;90 days from go-live</t>
  </si>
  <si>
    <t>Post go-live</t>
  </si>
  <si>
    <t>K11</t>
  </si>
  <si>
    <t>Customer NPS / onboarding satisfaction score</t>
  </si>
  <si>
    <t>Experience</t>
  </si>
  <si>
    <t>&gt;8 / 10</t>
  </si>
  <si>
    <t>ONBOARDING RISK REGISTER</t>
  </si>
  <si>
    <t>ID</t>
  </si>
  <si>
    <t>Risk Description</t>
  </si>
  <si>
    <t>Likelihood</t>
  </si>
  <si>
    <t>Impact</t>
  </si>
  <si>
    <t>Risk Score</t>
  </si>
  <si>
    <t>Mitigation Action</t>
  </si>
  <si>
    <t>Resolution / Notes</t>
  </si>
  <si>
    <t>R01</t>
  </si>
  <si>
    <t>Delayed integration credentials from customer IT team</t>
  </si>
  <si>
    <t>Technical</t>
  </si>
  <si>
    <t>Medium</t>
  </si>
  <si>
    <t>High</t>
  </si>
  <si>
    <t>Request credentials at kickoff call; SE to escalate if not received by Day 5</t>
  </si>
  <si>
    <t>Open</t>
  </si>
  <si>
    <t>R02</t>
  </si>
  <si>
    <t>Low employee training / policy acknowledgment completion</t>
  </si>
  <si>
    <t>People</t>
  </si>
  <si>
    <t>Weekly reminder cadence; CSM to engage HR/Ops champion directly</t>
  </si>
  <si>
    <t>R03</t>
  </si>
  <si>
    <t>Scope creep — additional frameworks added mid-onboarding</t>
  </si>
  <si>
    <t>Scope</t>
  </si>
  <si>
    <t>Low</t>
  </si>
  <si>
    <t>Formal change request process; any scope additions require addendum &amp; revised timeline</t>
  </si>
  <si>
    <t>[CSM + AE]</t>
  </si>
  <si>
    <t>R04</t>
  </si>
  <si>
    <t>Key customer champion leaves during onboarding</t>
  </si>
  <si>
    <t>Stakeholder</t>
  </si>
  <si>
    <t>Multi-thread all relationships; document all key decisions and commitments</t>
  </si>
  <si>
    <t>R05</t>
  </si>
  <si>
    <t>Audit date pulled forward by customer</t>
  </si>
  <si>
    <t>Timeline</t>
  </si>
  <si>
    <t>Maintain 2-week buffer in plan; prioritize Tier 1 evidence and critical controls</t>
  </si>
  <si>
    <t>R06</t>
  </si>
  <si>
    <t>Platform integration failure (API breaking change)</t>
  </si>
  <si>
    <t>SE monitors integration health daily during Phase 2; escalate to engineering if needed</t>
  </si>
  <si>
    <t>R07</t>
  </si>
  <si>
    <t>Evidence gaps not resolved before audit</t>
  </si>
  <si>
    <t>Compliance</t>
  </si>
  <si>
    <t>Weekly evidence gap review from Week 6; assign each gap a due date and owner</t>
  </si>
  <si>
    <t>R08</t>
  </si>
  <si>
    <t>Vendor assessments not returned by Tier 1 vendors</t>
  </si>
  <si>
    <t>Send reminders at 5, 10, 15 days; risk-accept with justification if no response</t>
  </si>
  <si>
    <t>COMMUNICATION LOG &amp; MEETING TRACKER</t>
  </si>
  <si>
    <t>Date</t>
  </si>
  <si>
    <t>Meeting / Touchpoint</t>
  </si>
  <si>
    <t>Type</t>
  </si>
  <si>
    <t>Attendees</t>
  </si>
  <si>
    <t>Key Decisions</t>
  </si>
  <si>
    <t>Action Items</t>
  </si>
  <si>
    <t>Due Date</t>
  </si>
  <si>
    <t>Executive Kickoff Call</t>
  </si>
  <si>
    <t>[CSM + SE + Champion + Exec]</t>
  </si>
  <si>
    <t>[Align on goals, timeline, success metrics]</t>
  </si>
  <si>
    <t>[Share onboarding tracker; send integration checklist]</t>
  </si>
  <si>
    <t>Technical Discovery Session</t>
  </si>
  <si>
    <t>Technical Check-in</t>
  </si>
  <si>
    <t>[Map tech stack, identify integration owners]</t>
  </si>
  <si>
    <t>[Request cloud IAM credentials and IdP details]</t>
  </si>
  <si>
    <t>Onboarding Weekly Sync #1</t>
  </si>
  <si>
    <t>Weekly Sync</t>
  </si>
  <si>
    <t>[Review kickoff actions, confirm tenant provisioning]</t>
  </si>
  <si>
    <t>[Close gap assessment; assign control owners]</t>
  </si>
  <si>
    <t>[Week 3]</t>
  </si>
  <si>
    <t>Onboarding Weekly Sync #2</t>
  </si>
  <si>
    <t>[Week 4]</t>
  </si>
  <si>
    <t>Onboarding Weekly Sync #3</t>
  </si>
  <si>
    <t>Integration Health Check</t>
  </si>
  <si>
    <t>[Week 6]</t>
  </si>
  <si>
    <t>Onboarding Weekly Sync #4</t>
  </si>
  <si>
    <t>[Week 8]</t>
  </si>
  <si>
    <t>Monthly Executive Update #1</t>
  </si>
  <si>
    <t>Exec Update</t>
  </si>
  <si>
    <t>[CSM + Exec Sponsor]</t>
  </si>
  <si>
    <t>Internal Audit Readiness Review</t>
  </si>
  <si>
    <t>[CSM + SE + Champion]</t>
  </si>
  <si>
    <t>[Week 10]</t>
  </si>
  <si>
    <t>Audit Package Review</t>
  </si>
  <si>
    <t>Go-Live Review &amp; Sign-Off</t>
  </si>
  <si>
    <t>[CSM + Champion + Exec]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</si>
</sst>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6.0"/>
      <color rgb="FFFFFFFF"/>
      <name val="Arial"/>
    </font>
    <font/>
    <font>
      <color theme="1"/>
      <name val="Calibri"/>
      <scheme val="minor"/>
    </font>
    <font>
      <i/>
      <sz val="10.0"/>
      <color rgb="FFD97706"/>
      <name val="Arial"/>
    </font>
    <font>
      <b/>
      <sz val="12.0"/>
      <color rgb="FFFFFFFF"/>
      <name val="Arial"/>
    </font>
    <font>
      <b/>
      <sz val="9.0"/>
      <color rgb="FF1A2E4A"/>
      <name val="Arial"/>
    </font>
    <font>
      <b/>
      <i/>
      <sz val="9.0"/>
      <color rgb="FFD97706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sz val="9.0"/>
      <color rgb="FF475569"/>
      <name val="Arial"/>
    </font>
    <font>
      <b/>
      <sz val="9.0"/>
      <color rgb="FF16A34A"/>
      <name val="Arial"/>
    </font>
    <font>
      <b/>
      <sz val="9.0"/>
      <color rgb="FFD97706"/>
      <name val="Arial"/>
    </font>
    <font>
      <b/>
      <sz val="9.0"/>
      <color rgb="FF475569"/>
      <name val="Arial"/>
    </font>
    <font>
      <b/>
      <sz val="10.0"/>
      <color rgb="FF1A2E4A"/>
      <name val="Arial"/>
    </font>
    <font>
      <b/>
      <sz val="10.0"/>
      <color rgb="FF16A34A"/>
      <name val="Arial"/>
    </font>
    <font>
      <b/>
      <sz val="10.0"/>
      <color rgb="FFD97706"/>
      <name val="Arial"/>
    </font>
    <font>
      <b/>
      <sz val="10.0"/>
      <color rgb="FF475569"/>
      <name val="Arial"/>
    </font>
    <font>
      <b/>
      <sz val="11.0"/>
      <color rgb="FFFFFFFF"/>
      <name val="Arial"/>
    </font>
    <font>
      <sz val="9.0"/>
      <color rgb="FF1A2E4A"/>
      <name val="Arial"/>
    </font>
    <font>
      <b/>
      <i/>
      <sz val="9.0"/>
      <color rgb="FF16A34A"/>
      <name val="Arial"/>
    </font>
    <font>
      <b/>
      <i/>
      <sz val="9.0"/>
      <color rgb="FF2563EB"/>
      <name val="Arial"/>
    </font>
    <font>
      <i/>
      <sz val="9.0"/>
      <color rgb="FF475569"/>
      <name val="Arial"/>
    </font>
    <font>
      <b/>
      <sz val="14.0"/>
      <color rgb="FFFFFFFF"/>
      <name val="Arial"/>
    </font>
    <font>
      <b/>
      <sz val="9.0"/>
      <color rgb="FF2563EB"/>
      <name val="Arial"/>
    </font>
    <font>
      <i/>
      <sz val="9.0"/>
      <color rgb="FFD97706"/>
      <name val="Arial"/>
    </font>
    <font>
      <b/>
      <sz val="9.0"/>
      <color rgb="FFDC2626"/>
      <name val="Arial"/>
    </font>
    <font>
      <sz val="9.0"/>
      <color rgb="FFFFFFFF"/>
      <name val="Arial"/>
    </font>
    <font>
      <b/>
      <sz val="9.0"/>
      <color rgb="FF7C3AED"/>
      <name val="Arial"/>
    </font>
    <font>
      <sz val="9.0"/>
      <color rgb="FF16A34A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16A34A"/>
        <bgColor rgb="FF16A34A"/>
      </patternFill>
    </fill>
    <fill>
      <patternFill patternType="solid">
        <fgColor rgb="FFD97706"/>
        <bgColor rgb="FFD97706"/>
      </patternFill>
    </fill>
    <fill>
      <patternFill patternType="solid">
        <fgColor rgb="FF475569"/>
        <bgColor rgb="FF475569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7C3AED"/>
        <bgColor rgb="FF7C3AED"/>
      </patternFill>
    </fill>
    <fill>
      <patternFill patternType="solid">
        <fgColor rgb="FFFEE2E2"/>
        <bgColor rgb="FFFEE2E2"/>
      </patternFill>
    </fill>
    <fill>
      <patternFill patternType="solid">
        <fgColor rgb="FFDC2626"/>
        <bgColor rgb="FFDC2626"/>
      </patternFill>
    </fill>
  </fills>
  <borders count="31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2563EB"/>
      </left>
      <top style="medium">
        <color rgb="FF2563EB"/>
      </top>
      <bottom style="medium">
        <color rgb="FF2563EB"/>
      </bottom>
    </border>
    <border>
      <top style="medium">
        <color rgb="FF2563EB"/>
      </top>
      <bottom style="medium">
        <color rgb="FF2563EB"/>
      </bottom>
    </border>
    <border>
      <right style="medium">
        <color rgb="FF2563EB"/>
      </right>
      <top style="medium">
        <color rgb="FF2563EB"/>
      </top>
      <bottom style="medium">
        <color rgb="FF2563EB"/>
      </bottom>
    </border>
    <border>
      <left style="medium">
        <color rgb="FF1A2E4A"/>
      </left>
      <top style="medium">
        <color rgb="FF1A2E4A"/>
      </top>
      <bottom style="medium">
        <color rgb="FF1A2E4A"/>
      </bottom>
    </border>
    <border>
      <top style="medium">
        <color rgb="FF1A2E4A"/>
      </top>
      <bottom style="medium">
        <color rgb="FF1A2E4A"/>
      </bottom>
    </border>
    <border>
      <right style="medium">
        <color rgb="FF1A2E4A"/>
      </right>
      <top style="medium">
        <color rgb="FF1A2E4A"/>
      </top>
      <bottom style="medium">
        <color rgb="FF1A2E4A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A2E4A"/>
      </left>
      <right style="medium">
        <color rgb="FF1A2E4A"/>
      </right>
      <top style="medium">
        <color rgb="FF1A2E4A"/>
      </top>
      <bottom style="medium">
        <color rgb="FF1A2E4A"/>
      </bottom>
    </border>
    <border>
      <left/>
      <right/>
      <top/>
      <bottom/>
    </border>
    <border>
      <right/>
      <top style="medium">
        <color rgb="FF1A2E4A"/>
      </top>
      <bottom style="medium">
        <color rgb="FF1A2E4A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right style="thin">
        <color rgb="FF1A2E4A"/>
      </right>
      <top style="medium">
        <color rgb="FF1A2E4A"/>
      </top>
      <bottom style="medium">
        <color rgb="FF1A2E4A"/>
      </bottom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4" fontId="5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2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5" fontId="6" numFmtId="0" xfId="0" applyAlignment="1" applyBorder="1" applyFill="1" applyFont="1">
      <alignment horizontal="left" shrinkToFit="0" vertical="center" wrapText="1"/>
    </xf>
    <xf borderId="19" fillId="6" fontId="7" numFmtId="0" xfId="0" applyAlignment="1" applyBorder="1" applyFill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18" fillId="7" fontId="6" numFmtId="0" xfId="0" applyAlignment="1" applyBorder="1" applyFill="1" applyFont="1">
      <alignment horizontal="left" shrinkToFit="0" vertical="center" wrapText="1"/>
    </xf>
    <xf borderId="19" fillId="8" fontId="7" numFmtId="0" xfId="0" applyAlignment="1" applyBorder="1" applyFill="1" applyFont="1">
      <alignment horizontal="left" shrinkToFit="0" vertical="center" wrapText="1"/>
    </xf>
    <xf borderId="22" fillId="4" fontId="8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shrinkToFit="0" vertical="center" wrapText="1"/>
    </xf>
    <xf borderId="22" fillId="9" fontId="8" numFmtId="0" xfId="0" applyAlignment="1" applyBorder="1" applyFill="1" applyFont="1">
      <alignment horizontal="center" shrinkToFit="0" vertical="center" wrapText="1"/>
    </xf>
    <xf borderId="22" fillId="10" fontId="8" numFmtId="0" xfId="0" applyAlignment="1" applyBorder="1" applyFill="1" applyFont="1">
      <alignment horizontal="center" shrinkToFit="0" vertical="center" wrapText="1"/>
    </xf>
    <xf borderId="22" fillId="11" fontId="8" numFmtId="0" xfId="0" applyAlignment="1" applyBorder="1" applyFill="1" applyFont="1">
      <alignment horizontal="center" shrinkToFit="0" vertical="center" wrapText="1"/>
    </xf>
    <xf borderId="23" fillId="6" fontId="9" numFmtId="0" xfId="0" applyAlignment="1" applyBorder="1" applyFont="1">
      <alignment shrinkToFit="0" vertical="bottom" wrapText="1"/>
    </xf>
    <xf borderId="18" fillId="4" fontId="10" numFmtId="0" xfId="0" applyAlignment="1" applyBorder="1" applyFont="1">
      <alignment horizontal="center" shrinkToFit="0" vertical="center" wrapText="1"/>
    </xf>
    <xf borderId="18" fillId="6" fontId="6" numFmtId="0" xfId="0" applyAlignment="1" applyBorder="1" applyFont="1">
      <alignment horizontal="left" shrinkToFit="0" vertical="center" wrapText="1"/>
    </xf>
    <xf borderId="18" fillId="6" fontId="11" numFmtId="0" xfId="0" applyAlignment="1" applyBorder="1" applyFont="1">
      <alignment horizontal="center" shrinkToFit="0" vertical="center" wrapText="1"/>
    </xf>
    <xf borderId="18" fillId="12" fontId="12" numFmtId="0" xfId="0" applyAlignment="1" applyBorder="1" applyFill="1" applyFont="1">
      <alignment horizontal="center" shrinkToFit="0" vertical="center" wrapText="1"/>
    </xf>
    <xf borderId="18" fillId="13" fontId="13" numFmtId="0" xfId="0" applyAlignment="1" applyBorder="1" applyFill="1" applyFont="1">
      <alignment horizontal="center" shrinkToFit="0" vertical="center" wrapText="1"/>
    </xf>
    <xf borderId="18" fillId="6" fontId="14" numFmtId="0" xfId="0" applyAlignment="1" applyBorder="1" applyFont="1">
      <alignment horizontal="center" shrinkToFit="0" vertical="center" wrapText="1"/>
    </xf>
    <xf borderId="18" fillId="4" fontId="10" numFmtId="9" xfId="0" applyAlignment="1" applyBorder="1" applyFont="1" applyNumberFormat="1">
      <alignment horizontal="center" shrinkToFit="0" vertical="center" wrapText="1"/>
    </xf>
    <xf borderId="18" fillId="6" fontId="6" numFmtId="0" xfId="0" applyAlignment="1" applyBorder="1" applyFont="1">
      <alignment horizontal="center" shrinkToFit="0" vertical="center" wrapText="1"/>
    </xf>
    <xf borderId="18" fillId="14" fontId="10" numFmtId="0" xfId="0" applyAlignment="1" applyBorder="1" applyFill="1" applyFont="1">
      <alignment horizontal="center" shrinkToFit="0" vertical="center" wrapText="1"/>
    </xf>
    <xf borderId="18" fillId="8" fontId="6" numFmtId="0" xfId="0" applyAlignment="1" applyBorder="1" applyFont="1">
      <alignment horizontal="left" shrinkToFit="0" vertical="center" wrapText="1"/>
    </xf>
    <xf borderId="18" fillId="8" fontId="11" numFmtId="0" xfId="0" applyAlignment="1" applyBorder="1" applyFont="1">
      <alignment horizontal="center" shrinkToFit="0" vertical="center" wrapText="1"/>
    </xf>
    <xf borderId="18" fillId="14" fontId="10" numFmtId="9" xfId="0" applyAlignment="1" applyBorder="1" applyFont="1" applyNumberFormat="1">
      <alignment horizontal="center" shrinkToFit="0" vertical="center" wrapText="1"/>
    </xf>
    <xf borderId="18" fillId="8" fontId="6" numFmtId="0" xfId="0" applyAlignment="1" applyBorder="1" applyFont="1">
      <alignment horizontal="center" shrinkToFit="0" vertical="center" wrapText="1"/>
    </xf>
    <xf borderId="18" fillId="9" fontId="10" numFmtId="0" xfId="0" applyAlignment="1" applyBorder="1" applyFont="1">
      <alignment horizontal="center" shrinkToFit="0" vertical="center" wrapText="1"/>
    </xf>
    <xf borderId="18" fillId="9" fontId="10" numFmtId="9" xfId="0" applyAlignment="1" applyBorder="1" applyFont="1" applyNumberFormat="1">
      <alignment horizontal="center" shrinkToFit="0" vertical="center" wrapText="1"/>
    </xf>
    <xf borderId="18" fillId="10" fontId="10" numFmtId="0" xfId="0" applyAlignment="1" applyBorder="1" applyFont="1">
      <alignment horizontal="center" shrinkToFit="0" vertical="center" wrapText="1"/>
    </xf>
    <xf borderId="18" fillId="10" fontId="10" numFmtId="9" xfId="0" applyAlignment="1" applyBorder="1" applyFont="1" applyNumberForma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2" fillId="7" fontId="15" numFmtId="0" xfId="0" applyAlignment="1" applyBorder="1" applyFont="1">
      <alignment horizontal="center" shrinkToFit="0" vertical="center" wrapText="1"/>
    </xf>
    <xf borderId="22" fillId="12" fontId="16" numFmtId="0" xfId="0" applyAlignment="1" applyBorder="1" applyFont="1">
      <alignment horizontal="center" shrinkToFit="0" vertical="center" wrapText="1"/>
    </xf>
    <xf borderId="22" fillId="13" fontId="17" numFmtId="0" xfId="0" applyAlignment="1" applyBorder="1" applyFont="1">
      <alignment horizontal="center" shrinkToFit="0" vertical="center" wrapText="1"/>
    </xf>
    <xf borderId="22" fillId="6" fontId="18" numFmtId="0" xfId="0" applyAlignment="1" applyBorder="1" applyFont="1">
      <alignment horizontal="center" shrinkToFit="0" vertical="center" wrapText="1"/>
    </xf>
    <xf borderId="22" fillId="4" fontId="19" numFmtId="9" xfId="0" applyAlignment="1" applyBorder="1" applyFont="1" applyNumberFormat="1">
      <alignment horizontal="center" shrinkToFit="0" vertical="center" wrapText="1"/>
    </xf>
    <xf borderId="22" fillId="5" fontId="15" numFmtId="0" xfId="0" applyAlignment="1" applyBorder="1" applyFont="1">
      <alignment horizontal="center" shrinkToFit="0" vertical="center" wrapText="1"/>
    </xf>
    <xf borderId="23" fillId="7" fontId="9" numFmtId="0" xfId="0" applyAlignment="1" applyBorder="1" applyFont="1">
      <alignment shrinkToFit="0" vertical="bottom" wrapText="1"/>
    </xf>
    <xf borderId="18" fillId="6" fontId="20" numFmtId="0" xfId="0" applyAlignment="1" applyBorder="1" applyFont="1">
      <alignment horizontal="left" shrinkToFit="0" vertical="center" wrapText="1"/>
    </xf>
    <xf borderId="18" fillId="13" fontId="7" numFmtId="0" xfId="0" applyAlignment="1" applyBorder="1" applyFont="1">
      <alignment horizontal="center" shrinkToFit="0" vertical="center" wrapText="1"/>
    </xf>
    <xf borderId="18" fillId="12" fontId="21" numFmtId="0" xfId="0" applyAlignment="1" applyBorder="1" applyFont="1">
      <alignment horizontal="center" shrinkToFit="0" vertical="center" wrapText="1"/>
    </xf>
    <xf borderId="18" fillId="5" fontId="22" numFmtId="0" xfId="0" applyAlignment="1" applyBorder="1" applyFont="1">
      <alignment horizontal="center" shrinkToFit="0" vertical="center" wrapText="1"/>
    </xf>
    <xf borderId="18" fillId="6" fontId="23" numFmtId="0" xfId="0" applyAlignment="1" applyBorder="1" applyFont="1">
      <alignment horizontal="left" shrinkToFit="0" vertical="center" wrapText="1"/>
    </xf>
    <xf borderId="25" fillId="6" fontId="9" numFmtId="0" xfId="0" applyAlignment="1" applyBorder="1" applyFont="1">
      <alignment shrinkToFit="0" vertical="bottom" wrapText="1"/>
    </xf>
    <xf borderId="18" fillId="8" fontId="20" numFmtId="0" xfId="0" applyAlignment="1" applyBorder="1" applyFont="1">
      <alignment horizontal="left" shrinkToFit="0" vertical="center" wrapText="1"/>
    </xf>
    <xf borderId="18" fillId="8" fontId="23" numFmtId="0" xfId="0" applyAlignment="1" applyBorder="1" applyFont="1">
      <alignment horizontal="left" shrinkToFit="0" vertical="center" wrapText="1"/>
    </xf>
    <xf borderId="25" fillId="8" fontId="9" numFmtId="0" xfId="0" applyAlignment="1" applyBorder="1" applyFont="1">
      <alignment shrinkToFit="0" vertical="bottom" wrapText="1"/>
    </xf>
    <xf borderId="1" fillId="4" fontId="24" numFmtId="0" xfId="0" applyAlignment="1" applyBorder="1" applyFont="1">
      <alignment horizontal="center" shrinkToFit="0" vertical="center" wrapText="1"/>
    </xf>
    <xf borderId="18" fillId="5" fontId="25" numFmtId="0" xfId="0" applyAlignment="1" applyBorder="1" applyFont="1">
      <alignment horizontal="center" shrinkToFit="0" vertical="center" wrapText="1"/>
    </xf>
    <xf borderId="18" fillId="6" fontId="23" numFmtId="0" xfId="0" applyAlignment="1" applyBorder="1" applyFont="1">
      <alignment horizontal="center" shrinkToFit="0" vertical="center" wrapText="1"/>
    </xf>
    <xf borderId="18" fillId="13" fontId="26" numFmtId="0" xfId="0" applyAlignment="1" applyBorder="1" applyFont="1">
      <alignment horizontal="left" shrinkToFit="0" vertical="center" wrapText="1"/>
    </xf>
    <xf borderId="18" fillId="8" fontId="23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2" fillId="12" fontId="12" numFmtId="0" xfId="0" applyAlignment="1" applyBorder="1" applyFont="1">
      <alignment horizontal="center" shrinkToFit="0" vertical="center" wrapText="1"/>
    </xf>
    <xf borderId="22" fillId="15" fontId="27" numFmtId="0" xfId="0" applyAlignment="1" applyBorder="1" applyFill="1" applyFont="1">
      <alignment horizontal="center" shrinkToFit="0" vertical="center" wrapText="1"/>
    </xf>
    <xf borderId="22" fillId="4" fontId="10" numFmtId="9" xfId="0" applyAlignment="1" applyBorder="1" applyFont="1" applyNumberFormat="1">
      <alignment horizontal="center" shrinkToFit="0" vertical="center" wrapText="1"/>
    </xf>
    <xf borderId="1" fillId="14" fontId="24" numFmtId="0" xfId="0" applyAlignment="1" applyBorder="1" applyFont="1">
      <alignment horizontal="center" shrinkToFit="0" vertical="center" wrapText="1"/>
    </xf>
    <xf borderId="1" fillId="9" fontId="24" numFmtId="0" xfId="0" applyAlignment="1" applyBorder="1" applyFont="1">
      <alignment horizontal="center" shrinkToFit="0" vertical="center" wrapText="1"/>
    </xf>
    <xf borderId="1" fillId="10" fontId="24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27" fillId="9" fontId="10" numFmtId="0" xfId="0" applyAlignment="1" applyBorder="1" applyFont="1">
      <alignment horizontal="center" shrinkToFit="0" vertical="center" wrapText="1"/>
    </xf>
    <xf borderId="23" fillId="6" fontId="11" numFmtId="0" xfId="0" applyAlignment="1" applyBorder="1" applyFont="1">
      <alignment horizontal="left" shrinkToFit="0" vertical="center" wrapText="1"/>
    </xf>
    <xf borderId="28" fillId="4" fontId="10" numFmtId="0" xfId="0" applyAlignment="1" applyBorder="1" applyFont="1">
      <alignment horizontal="center" shrinkToFit="0" vertical="center" wrapText="1"/>
    </xf>
    <xf borderId="29" fillId="10" fontId="10" numFmtId="0" xfId="0" applyAlignment="1" applyBorder="1" applyFont="1">
      <alignment horizontal="center" shrinkToFit="0" vertical="center" wrapText="1"/>
    </xf>
    <xf borderId="30" fillId="11" fontId="10" numFmtId="0" xfId="0" applyAlignment="1" applyBorder="1" applyFont="1">
      <alignment horizontal="center" shrinkToFit="0" vertical="center" wrapText="1"/>
    </xf>
    <xf borderId="22" fillId="14" fontId="8" numFmtId="0" xfId="0" applyAlignment="1" applyBorder="1" applyFont="1">
      <alignment horizontal="center" shrinkToFit="0" vertical="center" wrapText="1"/>
    </xf>
    <xf borderId="18" fillId="2" fontId="10" numFmtId="0" xfId="0" applyAlignment="1" applyBorder="1" applyFont="1">
      <alignment horizontal="center" shrinkToFit="0" vertical="center" wrapText="1"/>
    </xf>
    <xf borderId="18" fillId="6" fontId="25" numFmtId="0" xfId="0" applyAlignment="1" applyBorder="1" applyFont="1">
      <alignment horizontal="center" shrinkToFit="0" vertical="center" wrapText="1"/>
    </xf>
    <xf borderId="18" fillId="10" fontId="28" numFmtId="0" xfId="0" applyAlignment="1" applyBorder="1" applyFont="1">
      <alignment horizontal="center" shrinkToFit="0" vertical="center" wrapText="1"/>
    </xf>
    <xf borderId="18" fillId="7" fontId="11" numFmtId="0" xfId="0" applyAlignment="1" applyBorder="1" applyFont="1">
      <alignment horizontal="center" shrinkToFit="0" vertical="center" wrapText="1"/>
    </xf>
    <xf borderId="18" fillId="8" fontId="25" numFmtId="0" xfId="0" applyAlignment="1" applyBorder="1" applyFont="1">
      <alignment horizontal="center" shrinkToFit="0" vertical="center" wrapText="1"/>
    </xf>
    <xf borderId="18" fillId="8" fontId="29" numFmtId="0" xfId="0" applyAlignment="1" applyBorder="1" applyFont="1">
      <alignment horizontal="center" shrinkToFit="0" vertical="center" wrapText="1"/>
    </xf>
    <xf borderId="18" fillId="6" fontId="29" numFmtId="0" xfId="0" applyAlignment="1" applyBorder="1" applyFont="1">
      <alignment horizontal="center" shrinkToFit="0" vertical="center" wrapText="1"/>
    </xf>
    <xf borderId="18" fillId="8" fontId="12" numFmtId="0" xfId="0" applyAlignment="1" applyBorder="1" applyFont="1">
      <alignment horizontal="center" shrinkToFit="0" vertical="center" wrapText="1"/>
    </xf>
    <xf borderId="18" fillId="6" fontId="12" numFmtId="0" xfId="0" applyAlignment="1" applyBorder="1" applyFont="1">
      <alignment horizontal="center" shrinkToFit="0" vertical="center" wrapText="1"/>
    </xf>
    <xf borderId="18" fillId="8" fontId="13" numFmtId="0" xfId="0" applyAlignment="1" applyBorder="1" applyFont="1">
      <alignment horizontal="center" shrinkToFit="0" vertical="center" wrapText="1"/>
    </xf>
    <xf borderId="18" fillId="6" fontId="13" numFmtId="0" xfId="0" applyAlignment="1" applyBorder="1" applyFont="1">
      <alignment horizontal="center" shrinkToFit="0" vertical="center" wrapText="1"/>
    </xf>
    <xf borderId="18" fillId="12" fontId="12" numFmtId="0" xfId="0" applyAlignment="1" applyBorder="1" applyFont="1">
      <alignment horizontal="left" shrinkToFit="0" vertical="center" wrapText="1"/>
    </xf>
    <xf borderId="18" fillId="6" fontId="22" numFmtId="0" xfId="0" applyAlignment="1" applyBorder="1" applyFont="1">
      <alignment horizontal="center" shrinkToFit="0" vertical="center" wrapText="1"/>
    </xf>
    <xf borderId="18" fillId="5" fontId="29" numFmtId="0" xfId="0" applyAlignment="1" applyBorder="1" applyFont="1">
      <alignment horizontal="center" shrinkToFit="0" vertical="center" wrapText="1"/>
    </xf>
    <xf borderId="18" fillId="8" fontId="22" numFmtId="0" xfId="0" applyAlignment="1" applyBorder="1" applyFont="1">
      <alignment horizontal="center" shrinkToFit="0" vertical="center" wrapText="1"/>
    </xf>
    <xf borderId="18" fillId="5" fontId="12" numFmtId="0" xfId="0" applyAlignment="1" applyBorder="1" applyFont="1">
      <alignment horizontal="center" shrinkToFit="0" vertical="center" wrapText="1"/>
    </xf>
    <xf borderId="18" fillId="5" fontId="13" numFmtId="0" xfId="0" applyAlignment="1" applyBorder="1" applyFont="1">
      <alignment horizontal="center" shrinkToFit="0" vertical="center" wrapText="1"/>
    </xf>
    <xf borderId="18" fillId="5" fontId="14" numFmtId="0" xfId="0" applyAlignment="1" applyBorder="1" applyFont="1">
      <alignment horizontal="center" shrinkToFit="0" vertical="center" wrapText="1"/>
    </xf>
    <xf borderId="18" fillId="5" fontId="27" numFmtId="0" xfId="0" applyAlignment="1" applyBorder="1" applyFont="1">
      <alignment horizontal="center" shrinkToFit="0" vertical="center" wrapText="1"/>
    </xf>
    <xf borderId="18" fillId="5" fontId="6" numFmtId="0" xfId="0" applyAlignment="1" applyBorder="1" applyFont="1">
      <alignment horizontal="center" shrinkToFit="0" vertical="center" wrapText="1"/>
    </xf>
    <xf borderId="1" fillId="16" fontId="24" numFmtId="0" xfId="0" applyAlignment="1" applyBorder="1" applyFill="1" applyFont="1">
      <alignment horizontal="center" shrinkToFit="0" vertical="center" wrapText="1"/>
    </xf>
    <xf borderId="18" fillId="16" fontId="10" numFmtId="0" xfId="0" applyAlignment="1" applyBorder="1" applyFont="1">
      <alignment horizontal="center" shrinkToFit="0" vertical="center" wrapText="1"/>
    </xf>
    <xf borderId="18" fillId="15" fontId="27" numFmtId="0" xfId="0" applyAlignment="1" applyBorder="1" applyFont="1">
      <alignment horizontal="center" shrinkToFit="0" vertical="center" wrapText="1"/>
    </xf>
    <xf borderId="18" fillId="16" fontId="8" numFmtId="0" xfId="0" applyAlignment="1" applyBorder="1" applyFont="1">
      <alignment horizontal="center" shrinkToFit="0" vertical="center" wrapText="1"/>
    </xf>
    <xf borderId="18" fillId="6" fontId="11" numFmtId="0" xfId="0" applyAlignment="1" applyBorder="1" applyFont="1">
      <alignment horizontal="left" shrinkToFit="0" vertical="center" wrapText="1"/>
    </xf>
    <xf borderId="18" fillId="10" fontId="8" numFmtId="0" xfId="0" applyAlignment="1" applyBorder="1" applyFont="1">
      <alignment horizontal="center" shrinkToFit="0" vertical="center" wrapText="1"/>
    </xf>
    <xf borderId="18" fillId="8" fontId="11" numFmtId="0" xfId="0" applyAlignment="1" applyBorder="1" applyFont="1">
      <alignment horizontal="left" shrinkToFit="0" vertical="center" wrapText="1"/>
    </xf>
    <xf borderId="1" fillId="4" fontId="24" numFmtId="0" xfId="0" applyAlignment="1" applyBorder="1" applyFont="1">
      <alignment horizontal="center" shrinkToFit="0" vertical="center" wrapText="0"/>
    </xf>
    <xf borderId="18" fillId="12" fontId="30" numFmtId="0" xfId="0" applyAlignment="1" applyBorder="1" applyFont="1">
      <alignment horizontal="left" shrinkToFit="0" vertical="center" wrapText="1"/>
    </xf>
    <xf borderId="18" fillId="13" fontId="2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E4A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14.0"/>
    <col customWidth="1" min="4" max="5" width="12.0"/>
    <col customWidth="1" min="6" max="6" width="16.14"/>
    <col customWidth="1" min="7" max="7" width="14.0"/>
    <col customWidth="1" min="8" max="8" width="12.0"/>
    <col customWidth="1" min="9" max="9" width="20.0"/>
    <col customWidth="1" min="10" max="14" width="10.0"/>
    <col customWidth="1" min="15" max="26" width="8.71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0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3" t="s">
        <v>2</v>
      </c>
      <c r="B7" s="14"/>
      <c r="C7" s="14"/>
      <c r="D7" s="14"/>
      <c r="E7" s="14"/>
      <c r="F7" s="14"/>
      <c r="G7" s="15"/>
      <c r="H7" s="16" t="s">
        <v>3</v>
      </c>
      <c r="I7" s="17"/>
      <c r="J7" s="17"/>
      <c r="K7" s="17"/>
      <c r="L7" s="17"/>
      <c r="M7" s="17"/>
      <c r="N7" s="1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9" t="s">
        <v>4</v>
      </c>
      <c r="B8" s="20" t="s">
        <v>5</v>
      </c>
      <c r="C8" s="21"/>
      <c r="D8" s="21"/>
      <c r="E8" s="21"/>
      <c r="F8" s="21"/>
      <c r="G8" s="22"/>
      <c r="H8" s="23" t="s">
        <v>6</v>
      </c>
      <c r="I8" s="20" t="s">
        <v>7</v>
      </c>
      <c r="J8" s="21"/>
      <c r="K8" s="21"/>
      <c r="L8" s="21"/>
      <c r="M8" s="21"/>
      <c r="N8" s="2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9" t="s">
        <v>8</v>
      </c>
      <c r="B9" s="24" t="s">
        <v>9</v>
      </c>
      <c r="C9" s="21"/>
      <c r="D9" s="21"/>
      <c r="E9" s="21"/>
      <c r="F9" s="21"/>
      <c r="G9" s="22"/>
      <c r="H9" s="23" t="s">
        <v>10</v>
      </c>
      <c r="I9" s="24" t="s">
        <v>7</v>
      </c>
      <c r="J9" s="21"/>
      <c r="K9" s="21"/>
      <c r="L9" s="21"/>
      <c r="M9" s="21"/>
      <c r="N9" s="2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9" t="s">
        <v>11</v>
      </c>
      <c r="B10" s="20" t="s">
        <v>12</v>
      </c>
      <c r="C10" s="21"/>
      <c r="D10" s="21"/>
      <c r="E10" s="21"/>
      <c r="F10" s="21"/>
      <c r="G10" s="22"/>
      <c r="H10" s="23" t="s">
        <v>13</v>
      </c>
      <c r="I10" s="20" t="s">
        <v>7</v>
      </c>
      <c r="J10" s="21"/>
      <c r="K10" s="21"/>
      <c r="L10" s="21"/>
      <c r="M10" s="21"/>
      <c r="N10" s="2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9" t="s">
        <v>14</v>
      </c>
      <c r="B11" s="24" t="s">
        <v>15</v>
      </c>
      <c r="C11" s="21"/>
      <c r="D11" s="21"/>
      <c r="E11" s="21"/>
      <c r="F11" s="21"/>
      <c r="G11" s="22"/>
      <c r="H11" s="23" t="s">
        <v>16</v>
      </c>
      <c r="I11" s="24" t="s">
        <v>17</v>
      </c>
      <c r="J11" s="21"/>
      <c r="K11" s="21"/>
      <c r="L11" s="21"/>
      <c r="M11" s="21"/>
      <c r="N11" s="2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9" t="s">
        <v>18</v>
      </c>
      <c r="B12" s="20" t="s">
        <v>15</v>
      </c>
      <c r="C12" s="21"/>
      <c r="D12" s="21"/>
      <c r="E12" s="21"/>
      <c r="F12" s="21"/>
      <c r="G12" s="22"/>
      <c r="H12" s="23" t="s">
        <v>19</v>
      </c>
      <c r="I12" s="20" t="s">
        <v>17</v>
      </c>
      <c r="J12" s="21"/>
      <c r="K12" s="21"/>
      <c r="L12" s="21"/>
      <c r="M12" s="21"/>
      <c r="N12" s="2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9" t="s">
        <v>20</v>
      </c>
      <c r="B13" s="24" t="s">
        <v>15</v>
      </c>
      <c r="C13" s="21"/>
      <c r="D13" s="21"/>
      <c r="E13" s="21"/>
      <c r="F13" s="21"/>
      <c r="G13" s="22"/>
      <c r="H13" s="23" t="s">
        <v>21</v>
      </c>
      <c r="I13" s="24" t="s">
        <v>22</v>
      </c>
      <c r="J13" s="21"/>
      <c r="K13" s="21"/>
      <c r="L13" s="21"/>
      <c r="M13" s="21"/>
      <c r="N13" s="2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6" t="s">
        <v>23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25" t="s">
        <v>24</v>
      </c>
      <c r="B16" s="25" t="s">
        <v>25</v>
      </c>
      <c r="C16" s="26" t="s">
        <v>26</v>
      </c>
      <c r="D16" s="26" t="s">
        <v>27</v>
      </c>
      <c r="E16" s="27" t="s">
        <v>28</v>
      </c>
      <c r="F16" s="28" t="s">
        <v>29</v>
      </c>
      <c r="G16" s="29" t="s">
        <v>30</v>
      </c>
      <c r="H16" s="26" t="s">
        <v>31</v>
      </c>
      <c r="I16" s="26" t="s">
        <v>32</v>
      </c>
      <c r="J16" s="30"/>
      <c r="K16" s="30"/>
      <c r="L16" s="30"/>
      <c r="M16" s="30"/>
      <c r="N16" s="30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1" t="s">
        <v>33</v>
      </c>
      <c r="B17" s="32" t="s">
        <v>34</v>
      </c>
      <c r="C17" s="33" t="s">
        <v>35</v>
      </c>
      <c r="D17" s="33">
        <v>7.0</v>
      </c>
      <c r="E17" s="34">
        <f>COUNTIF('📋 Phase 1'!G:G,"✅ Complete")</f>
        <v>0</v>
      </c>
      <c r="F17" s="35">
        <f>COUNTIF('📋 Phase 1'!G:G,"🔄 In Progress")</f>
        <v>0</v>
      </c>
      <c r="G17" s="36">
        <f>COUNTIF('📋 Phase 1'!G:G,"⬜ Not Started")</f>
        <v>7</v>
      </c>
      <c r="H17" s="37">
        <f t="shared" ref="H17:H21" si="1">IFERROR(E17/D17,0)</f>
        <v>0</v>
      </c>
      <c r="I17" s="38" t="str">
        <f t="shared" ref="I17:I20" si="2">IF(H17=1,"✅ Complete",IF(H17&gt;=0.5,"🔄 On Track",IF(H17&gt;0,"⚠️ At Risk","⬜ Not Started")))</f>
        <v>⬜ Not Started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9" t="s">
        <v>36</v>
      </c>
      <c r="B18" s="40" t="s">
        <v>37</v>
      </c>
      <c r="C18" s="41" t="s">
        <v>38</v>
      </c>
      <c r="D18" s="41">
        <v>8.0</v>
      </c>
      <c r="E18" s="34">
        <f>COUNTIF('📋 Phase 2'!G:G,"✅ Complete")</f>
        <v>0</v>
      </c>
      <c r="F18" s="35">
        <f>COUNTIF('📋 Phase 2'!G:G,"🔄 In Progress")</f>
        <v>0</v>
      </c>
      <c r="G18" s="36">
        <f>COUNTIF('📋 Phase 2'!G:G,"⬜ Not Started")</f>
        <v>8</v>
      </c>
      <c r="H18" s="42">
        <f t="shared" si="1"/>
        <v>0</v>
      </c>
      <c r="I18" s="43" t="str">
        <f t="shared" si="2"/>
        <v>⬜ Not Started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4" t="s">
        <v>39</v>
      </c>
      <c r="B19" s="32" t="s">
        <v>40</v>
      </c>
      <c r="C19" s="33" t="s">
        <v>41</v>
      </c>
      <c r="D19" s="33">
        <v>8.0</v>
      </c>
      <c r="E19" s="34">
        <f>COUNTIF('📋 Phase 3'!G:G,"✅ Complete")</f>
        <v>0</v>
      </c>
      <c r="F19" s="35">
        <f>COUNTIF('📋 Phase 3'!G:G,"🔄 In Progress")</f>
        <v>0</v>
      </c>
      <c r="G19" s="36">
        <f>COUNTIF('📋 Phase 3'!G:G,"⬜ Not Started")</f>
        <v>8</v>
      </c>
      <c r="H19" s="45">
        <f t="shared" si="1"/>
        <v>0</v>
      </c>
      <c r="I19" s="38" t="str">
        <f t="shared" si="2"/>
        <v>⬜ Not Started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6" t="s">
        <v>42</v>
      </c>
      <c r="B20" s="40" t="s">
        <v>43</v>
      </c>
      <c r="C20" s="41" t="s">
        <v>44</v>
      </c>
      <c r="D20" s="41">
        <v>8.0</v>
      </c>
      <c r="E20" s="34">
        <f>COUNTIF('📋 Phase 4'!G:G,"✅ Complete")</f>
        <v>0</v>
      </c>
      <c r="F20" s="35">
        <f>COUNTIF('📋 Phase 4'!G:G,"🔄 In Progress")</f>
        <v>0</v>
      </c>
      <c r="G20" s="36">
        <f>COUNTIF('📋 Phase 4'!G:G,"⬜ Not Started")</f>
        <v>8</v>
      </c>
      <c r="H20" s="47">
        <f t="shared" si="1"/>
        <v>0</v>
      </c>
      <c r="I20" s="43" t="str">
        <f t="shared" si="2"/>
        <v>⬜ Not Started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48" t="s">
        <v>45</v>
      </c>
      <c r="B21" s="17"/>
      <c r="C21" s="49"/>
      <c r="D21" s="50">
        <f t="shared" ref="D21:G21" si="3">SUM(D17:D20)</f>
        <v>31</v>
      </c>
      <c r="E21" s="51">
        <f t="shared" si="3"/>
        <v>0</v>
      </c>
      <c r="F21" s="52">
        <f t="shared" si="3"/>
        <v>0</v>
      </c>
      <c r="G21" s="53">
        <f t="shared" si="3"/>
        <v>31</v>
      </c>
      <c r="H21" s="54">
        <f t="shared" si="1"/>
        <v>0</v>
      </c>
      <c r="I21" s="55" t="str">
        <f>IF(H21=1,"✅ Onboarding Complete",IF(H21&gt;=0.75,"🔄 On Track","⚠️ Needs Attention"))</f>
        <v>⚠️ Needs Attention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3" t="s">
        <v>46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6" t="s">
        <v>47</v>
      </c>
      <c r="B24" s="26" t="s">
        <v>48</v>
      </c>
      <c r="C24" s="26" t="s">
        <v>49</v>
      </c>
      <c r="D24" s="26" t="s">
        <v>50</v>
      </c>
      <c r="E24" s="26" t="s">
        <v>51</v>
      </c>
      <c r="F24" s="26" t="s">
        <v>32</v>
      </c>
      <c r="G24" s="26" t="s">
        <v>52</v>
      </c>
      <c r="H24" s="56"/>
      <c r="I24" s="56"/>
      <c r="J24" s="56"/>
      <c r="K24" s="56"/>
      <c r="L24" s="56"/>
      <c r="M24" s="56"/>
      <c r="N24" s="5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1" t="s">
        <v>53</v>
      </c>
      <c r="B25" s="57" t="s">
        <v>54</v>
      </c>
      <c r="C25" s="58" t="s">
        <v>55</v>
      </c>
      <c r="D25" s="59"/>
      <c r="E25" s="60" t="s">
        <v>56</v>
      </c>
      <c r="F25" s="33" t="s">
        <v>57</v>
      </c>
      <c r="G25" s="61"/>
      <c r="H25" s="62"/>
      <c r="I25" s="62"/>
      <c r="J25" s="62"/>
      <c r="K25" s="62"/>
      <c r="L25" s="62"/>
      <c r="M25" s="62"/>
      <c r="N25" s="6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1" t="s">
        <v>58</v>
      </c>
      <c r="B26" s="63" t="s">
        <v>59</v>
      </c>
      <c r="C26" s="58" t="s">
        <v>60</v>
      </c>
      <c r="D26" s="59"/>
      <c r="E26" s="60" t="s">
        <v>61</v>
      </c>
      <c r="F26" s="41" t="s">
        <v>57</v>
      </c>
      <c r="G26" s="64"/>
      <c r="H26" s="65"/>
      <c r="I26" s="65"/>
      <c r="J26" s="65"/>
      <c r="K26" s="65"/>
      <c r="L26" s="65"/>
      <c r="M26" s="65"/>
      <c r="N26" s="6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1" t="s">
        <v>62</v>
      </c>
      <c r="B27" s="57" t="s">
        <v>63</v>
      </c>
      <c r="C27" s="58" t="s">
        <v>64</v>
      </c>
      <c r="D27" s="59"/>
      <c r="E27" s="60" t="s">
        <v>61</v>
      </c>
      <c r="F27" s="33" t="s">
        <v>57</v>
      </c>
      <c r="G27" s="61"/>
      <c r="H27" s="62"/>
      <c r="I27" s="62"/>
      <c r="J27" s="62"/>
      <c r="K27" s="62"/>
      <c r="L27" s="62"/>
      <c r="M27" s="62"/>
      <c r="N27" s="6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1" t="s">
        <v>65</v>
      </c>
      <c r="B28" s="63" t="s">
        <v>66</v>
      </c>
      <c r="C28" s="58" t="s">
        <v>67</v>
      </c>
      <c r="D28" s="59"/>
      <c r="E28" s="60" t="s">
        <v>68</v>
      </c>
      <c r="F28" s="41" t="s">
        <v>57</v>
      </c>
      <c r="G28" s="64"/>
      <c r="H28" s="65"/>
      <c r="I28" s="65"/>
      <c r="J28" s="65"/>
      <c r="K28" s="65"/>
      <c r="L28" s="65"/>
      <c r="M28" s="65"/>
      <c r="N28" s="6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31" t="s">
        <v>69</v>
      </c>
      <c r="B29" s="57" t="s">
        <v>70</v>
      </c>
      <c r="C29" s="58" t="s">
        <v>71</v>
      </c>
      <c r="D29" s="59"/>
      <c r="E29" s="60" t="s">
        <v>56</v>
      </c>
      <c r="F29" s="33" t="s">
        <v>57</v>
      </c>
      <c r="G29" s="61"/>
      <c r="H29" s="62"/>
      <c r="I29" s="62"/>
      <c r="J29" s="62"/>
      <c r="K29" s="62"/>
      <c r="L29" s="62"/>
      <c r="M29" s="62"/>
      <c r="N29" s="6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31" t="s">
        <v>72</v>
      </c>
      <c r="B30" s="63" t="s">
        <v>73</v>
      </c>
      <c r="C30" s="58" t="s">
        <v>74</v>
      </c>
      <c r="D30" s="59"/>
      <c r="E30" s="60" t="s">
        <v>56</v>
      </c>
      <c r="F30" s="41" t="s">
        <v>57</v>
      </c>
      <c r="G30" s="64"/>
      <c r="H30" s="65"/>
      <c r="I30" s="65"/>
      <c r="J30" s="65"/>
      <c r="K30" s="65"/>
      <c r="L30" s="65"/>
      <c r="M30" s="65"/>
      <c r="N30" s="6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31" t="s">
        <v>75</v>
      </c>
      <c r="B31" s="57" t="s">
        <v>76</v>
      </c>
      <c r="C31" s="58" t="s">
        <v>74</v>
      </c>
      <c r="D31" s="59"/>
      <c r="E31" s="60" t="s">
        <v>61</v>
      </c>
      <c r="F31" s="33" t="s">
        <v>57</v>
      </c>
      <c r="G31" s="61"/>
      <c r="H31" s="62"/>
      <c r="I31" s="62"/>
      <c r="J31" s="62"/>
      <c r="K31" s="62"/>
      <c r="L31" s="62"/>
      <c r="M31" s="62"/>
      <c r="N31" s="6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31" t="s">
        <v>77</v>
      </c>
      <c r="B32" s="63" t="s">
        <v>78</v>
      </c>
      <c r="C32" s="58" t="s">
        <v>79</v>
      </c>
      <c r="D32" s="59"/>
      <c r="E32" s="60" t="s">
        <v>56</v>
      </c>
      <c r="F32" s="41" t="s">
        <v>57</v>
      </c>
      <c r="G32" s="64"/>
      <c r="H32" s="65"/>
      <c r="I32" s="65"/>
      <c r="J32" s="65"/>
      <c r="K32" s="65"/>
      <c r="L32" s="65"/>
      <c r="M32" s="65"/>
      <c r="N32" s="6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B9:G9"/>
    <mergeCell ref="B10:G10"/>
    <mergeCell ref="B11:G11"/>
    <mergeCell ref="B12:G12"/>
    <mergeCell ref="B13:G13"/>
    <mergeCell ref="A21:C21"/>
    <mergeCell ref="I10:N10"/>
    <mergeCell ref="I11:N11"/>
    <mergeCell ref="I12:N12"/>
    <mergeCell ref="I13:N13"/>
    <mergeCell ref="A15:N15"/>
    <mergeCell ref="A23:N23"/>
    <mergeCell ref="A1:N4"/>
    <mergeCell ref="A5:N5"/>
    <mergeCell ref="A7:G7"/>
    <mergeCell ref="H7:N7"/>
    <mergeCell ref="B8:G8"/>
    <mergeCell ref="I8:N8"/>
    <mergeCell ref="I9:N9"/>
  </mergeCells>
  <dataValidations>
    <dataValidation type="list" allowBlank="1" sqref="F25:F32">
      <formula1>"✅ Complete,🔄 In Progress,⚠️ At Risk,⬜ Not Started"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14.0"/>
    <col customWidth="1" min="4" max="4" width="16.0"/>
    <col customWidth="1" min="5" max="6" width="9.0"/>
    <col customWidth="1" min="7" max="7" width="16.0"/>
    <col customWidth="1" min="8" max="8" width="13.0"/>
    <col customWidth="1" min="9" max="9" width="28.0"/>
    <col customWidth="1" min="10" max="10" width="26.0"/>
    <col customWidth="1" min="11" max="11" width="11.0"/>
    <col customWidth="1" min="12" max="26" width="8.71"/>
  </cols>
  <sheetData>
    <row r="1" ht="15.75" customHeight="1">
      <c r="A1" s="66" t="s">
        <v>80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6" t="s">
        <v>47</v>
      </c>
      <c r="B5" s="26" t="s">
        <v>81</v>
      </c>
      <c r="C5" s="26" t="s">
        <v>82</v>
      </c>
      <c r="D5" s="26" t="s">
        <v>51</v>
      </c>
      <c r="E5" s="26" t="s">
        <v>83</v>
      </c>
      <c r="F5" s="26" t="s">
        <v>84</v>
      </c>
      <c r="G5" s="26" t="s">
        <v>32</v>
      </c>
      <c r="H5" s="26" t="s">
        <v>85</v>
      </c>
      <c r="I5" s="26" t="s">
        <v>86</v>
      </c>
      <c r="J5" s="26" t="s">
        <v>87</v>
      </c>
      <c r="K5" s="26" t="s">
        <v>31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1" t="s">
        <v>88</v>
      </c>
      <c r="B6" s="57" t="s">
        <v>89</v>
      </c>
      <c r="C6" s="67" t="s">
        <v>90</v>
      </c>
      <c r="D6" s="68" t="s">
        <v>56</v>
      </c>
      <c r="E6" s="33">
        <v>1.0</v>
      </c>
      <c r="F6" s="33">
        <v>1.0</v>
      </c>
      <c r="G6" s="33" t="s">
        <v>57</v>
      </c>
      <c r="H6" s="33" t="s">
        <v>91</v>
      </c>
      <c r="I6" s="61"/>
      <c r="J6" s="69" t="s">
        <v>92</v>
      </c>
      <c r="K6" s="37">
        <f t="shared" ref="K6:K12" si="1">IF(G6="✅ Complete",1,IF(G6="🔄 In Progress",0.5,0))</f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1" t="s">
        <v>93</v>
      </c>
      <c r="B7" s="63" t="s">
        <v>94</v>
      </c>
      <c r="C7" s="67" t="s">
        <v>95</v>
      </c>
      <c r="D7" s="70" t="s">
        <v>61</v>
      </c>
      <c r="E7" s="41">
        <v>1.0</v>
      </c>
      <c r="F7" s="41">
        <v>1.0</v>
      </c>
      <c r="G7" s="41" t="s">
        <v>57</v>
      </c>
      <c r="H7" s="41" t="s">
        <v>91</v>
      </c>
      <c r="I7" s="64"/>
      <c r="J7" s="69" t="s">
        <v>96</v>
      </c>
      <c r="K7" s="37">
        <f t="shared" si="1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1" t="s">
        <v>97</v>
      </c>
      <c r="B8" s="57" t="s">
        <v>98</v>
      </c>
      <c r="C8" s="67" t="s">
        <v>99</v>
      </c>
      <c r="D8" s="68" t="s">
        <v>56</v>
      </c>
      <c r="E8" s="33">
        <v>1.0</v>
      </c>
      <c r="F8" s="33">
        <v>1.0</v>
      </c>
      <c r="G8" s="33" t="s">
        <v>57</v>
      </c>
      <c r="H8" s="33" t="s">
        <v>91</v>
      </c>
      <c r="I8" s="61"/>
      <c r="J8" s="69" t="s">
        <v>100</v>
      </c>
      <c r="K8" s="37">
        <f t="shared" si="1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1" t="s">
        <v>101</v>
      </c>
      <c r="B9" s="63" t="s">
        <v>102</v>
      </c>
      <c r="C9" s="67" t="s">
        <v>103</v>
      </c>
      <c r="D9" s="70" t="s">
        <v>61</v>
      </c>
      <c r="E9" s="41">
        <v>1.0</v>
      </c>
      <c r="F9" s="41">
        <v>2.0</v>
      </c>
      <c r="G9" s="41" t="s">
        <v>57</v>
      </c>
      <c r="H9" s="41" t="s">
        <v>91</v>
      </c>
      <c r="I9" s="64"/>
      <c r="J9" s="69" t="s">
        <v>104</v>
      </c>
      <c r="K9" s="37">
        <f t="shared" si="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1" t="s">
        <v>105</v>
      </c>
      <c r="B10" s="57" t="s">
        <v>106</v>
      </c>
      <c r="C10" s="67" t="s">
        <v>107</v>
      </c>
      <c r="D10" s="68" t="s">
        <v>56</v>
      </c>
      <c r="E10" s="33">
        <v>1.0</v>
      </c>
      <c r="F10" s="33">
        <v>1.0</v>
      </c>
      <c r="G10" s="33" t="s">
        <v>57</v>
      </c>
      <c r="H10" s="33" t="s">
        <v>108</v>
      </c>
      <c r="I10" s="61"/>
      <c r="J10" s="69" t="s">
        <v>109</v>
      </c>
      <c r="K10" s="37">
        <f t="shared" si="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1" t="s">
        <v>110</v>
      </c>
      <c r="B11" s="63" t="s">
        <v>111</v>
      </c>
      <c r="C11" s="67" t="s">
        <v>112</v>
      </c>
      <c r="D11" s="70" t="s">
        <v>113</v>
      </c>
      <c r="E11" s="41">
        <v>2.0</v>
      </c>
      <c r="F11" s="41">
        <v>2.0</v>
      </c>
      <c r="G11" s="41" t="s">
        <v>57</v>
      </c>
      <c r="H11" s="41" t="s">
        <v>91</v>
      </c>
      <c r="I11" s="64"/>
      <c r="J11" s="69" t="s">
        <v>114</v>
      </c>
      <c r="K11" s="37">
        <f t="shared" si="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1" t="s">
        <v>115</v>
      </c>
      <c r="B12" s="57" t="s">
        <v>116</v>
      </c>
      <c r="C12" s="67" t="s">
        <v>107</v>
      </c>
      <c r="D12" s="68" t="s">
        <v>56</v>
      </c>
      <c r="E12" s="33">
        <v>2.0</v>
      </c>
      <c r="F12" s="33">
        <v>2.0</v>
      </c>
      <c r="G12" s="33" t="s">
        <v>57</v>
      </c>
      <c r="H12" s="33" t="s">
        <v>108</v>
      </c>
      <c r="I12" s="61"/>
      <c r="J12" s="69" t="s">
        <v>117</v>
      </c>
      <c r="K12" s="37">
        <f t="shared" si="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8" t="s">
        <v>118</v>
      </c>
      <c r="B13" s="17"/>
      <c r="C13" s="17"/>
      <c r="D13" s="17"/>
      <c r="E13" s="17"/>
      <c r="F13" s="71"/>
      <c r="G13" s="72" t="str">
        <f>COUNTIF(G6:G12,"✅ Complete")&amp;" Complete"</f>
        <v>0 Complete</v>
      </c>
      <c r="H13" s="73" t="str">
        <f>COUNTIF(H6:H12,"🔴 High")&amp;" High Priority"</f>
        <v>5 High Priority</v>
      </c>
      <c r="I13" s="4"/>
      <c r="J13" s="4"/>
      <c r="K13" s="74">
        <f>IFERROR(COUNTIF(G6:G12,"✅ Complete")/(7),0)</f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3"/>
    <mergeCell ref="A13:F13"/>
  </mergeCells>
  <dataValidations>
    <dataValidation type="list" allowBlank="1" sqref="G6:G12">
      <formula1>"✅ Complete,🔄 In Progress,⚠️ At Risk,⬜ Not Started"</formula1>
    </dataValidation>
    <dataValidation type="list" allowBlank="1" sqref="H6:H12">
      <formula1>"🔴 High,🟡 Medium,🟢 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14.0"/>
    <col customWidth="1" min="4" max="4" width="16.0"/>
    <col customWidth="1" min="5" max="6" width="9.0"/>
    <col customWidth="1" min="7" max="7" width="16.0"/>
    <col customWidth="1" min="8" max="8" width="13.0"/>
    <col customWidth="1" min="9" max="9" width="28.0"/>
    <col customWidth="1" min="10" max="10" width="26.0"/>
    <col customWidth="1" min="11" max="11" width="11.0"/>
    <col customWidth="1" min="12" max="26" width="8.71"/>
  </cols>
  <sheetData>
    <row r="1" ht="15.75" customHeight="1">
      <c r="A1" s="75" t="s">
        <v>119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6" t="s">
        <v>47</v>
      </c>
      <c r="B5" s="26" t="s">
        <v>81</v>
      </c>
      <c r="C5" s="26" t="s">
        <v>82</v>
      </c>
      <c r="D5" s="26" t="s">
        <v>51</v>
      </c>
      <c r="E5" s="26" t="s">
        <v>83</v>
      </c>
      <c r="F5" s="26" t="s">
        <v>84</v>
      </c>
      <c r="G5" s="26" t="s">
        <v>32</v>
      </c>
      <c r="H5" s="26" t="s">
        <v>85</v>
      </c>
      <c r="I5" s="26" t="s">
        <v>86</v>
      </c>
      <c r="J5" s="26" t="s">
        <v>87</v>
      </c>
      <c r="K5" s="26" t="s">
        <v>31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39" t="s">
        <v>120</v>
      </c>
      <c r="B6" s="57" t="s">
        <v>121</v>
      </c>
      <c r="C6" s="67" t="s">
        <v>122</v>
      </c>
      <c r="D6" s="68" t="s">
        <v>61</v>
      </c>
      <c r="E6" s="33">
        <v>3.0</v>
      </c>
      <c r="F6" s="33">
        <v>3.0</v>
      </c>
      <c r="G6" s="33" t="s">
        <v>57</v>
      </c>
      <c r="H6" s="33" t="s">
        <v>91</v>
      </c>
      <c r="I6" s="61"/>
      <c r="J6" s="69" t="s">
        <v>123</v>
      </c>
      <c r="K6" s="42">
        <f t="shared" ref="K6:K13" si="1">IF(G6="✅ Complete",1,IF(G6="🔄 In Progress",0.5,0))</f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39" t="s">
        <v>124</v>
      </c>
      <c r="B7" s="63" t="s">
        <v>125</v>
      </c>
      <c r="C7" s="67" t="s">
        <v>122</v>
      </c>
      <c r="D7" s="70" t="s">
        <v>126</v>
      </c>
      <c r="E7" s="41">
        <v>3.0</v>
      </c>
      <c r="F7" s="41">
        <v>4.0</v>
      </c>
      <c r="G7" s="41" t="s">
        <v>57</v>
      </c>
      <c r="H7" s="41" t="s">
        <v>91</v>
      </c>
      <c r="I7" s="64"/>
      <c r="J7" s="69" t="s">
        <v>127</v>
      </c>
      <c r="K7" s="42">
        <f t="shared" si="1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39" t="s">
        <v>128</v>
      </c>
      <c r="B8" s="57" t="s">
        <v>129</v>
      </c>
      <c r="C8" s="67" t="s">
        <v>122</v>
      </c>
      <c r="D8" s="68" t="s">
        <v>126</v>
      </c>
      <c r="E8" s="33">
        <v>3.0</v>
      </c>
      <c r="F8" s="33">
        <v>4.0</v>
      </c>
      <c r="G8" s="33" t="s">
        <v>57</v>
      </c>
      <c r="H8" s="33" t="s">
        <v>108</v>
      </c>
      <c r="I8" s="61"/>
      <c r="J8" s="69" t="s">
        <v>130</v>
      </c>
      <c r="K8" s="42">
        <f t="shared" si="1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39" t="s">
        <v>131</v>
      </c>
      <c r="B9" s="63" t="s">
        <v>132</v>
      </c>
      <c r="C9" s="67" t="s">
        <v>122</v>
      </c>
      <c r="D9" s="70" t="s">
        <v>126</v>
      </c>
      <c r="E9" s="41">
        <v>4.0</v>
      </c>
      <c r="F9" s="41">
        <v>4.0</v>
      </c>
      <c r="G9" s="41" t="s">
        <v>57</v>
      </c>
      <c r="H9" s="41" t="s">
        <v>108</v>
      </c>
      <c r="I9" s="64"/>
      <c r="J9" s="69" t="s">
        <v>133</v>
      </c>
      <c r="K9" s="42">
        <f t="shared" si="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9" t="s">
        <v>134</v>
      </c>
      <c r="B10" s="57" t="s">
        <v>135</v>
      </c>
      <c r="C10" s="67" t="s">
        <v>136</v>
      </c>
      <c r="D10" s="68" t="s">
        <v>68</v>
      </c>
      <c r="E10" s="33">
        <v>4.0</v>
      </c>
      <c r="F10" s="33">
        <v>5.0</v>
      </c>
      <c r="G10" s="33" t="s">
        <v>57</v>
      </c>
      <c r="H10" s="33" t="s">
        <v>108</v>
      </c>
      <c r="I10" s="61"/>
      <c r="J10" s="69" t="s">
        <v>137</v>
      </c>
      <c r="K10" s="42">
        <f t="shared" si="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39" t="s">
        <v>138</v>
      </c>
      <c r="B11" s="63" t="s">
        <v>139</v>
      </c>
      <c r="C11" s="67" t="s">
        <v>136</v>
      </c>
      <c r="D11" s="70" t="s">
        <v>140</v>
      </c>
      <c r="E11" s="41">
        <v>4.0</v>
      </c>
      <c r="F11" s="41">
        <v>5.0</v>
      </c>
      <c r="G11" s="41" t="s">
        <v>57</v>
      </c>
      <c r="H11" s="41" t="s">
        <v>91</v>
      </c>
      <c r="I11" s="64"/>
      <c r="J11" s="69" t="s">
        <v>141</v>
      </c>
      <c r="K11" s="42">
        <f t="shared" si="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39" t="s">
        <v>142</v>
      </c>
      <c r="B12" s="57" t="s">
        <v>143</v>
      </c>
      <c r="C12" s="67" t="s">
        <v>144</v>
      </c>
      <c r="D12" s="68" t="s">
        <v>68</v>
      </c>
      <c r="E12" s="33">
        <v>5.0</v>
      </c>
      <c r="F12" s="33">
        <v>5.0</v>
      </c>
      <c r="G12" s="33" t="s">
        <v>57</v>
      </c>
      <c r="H12" s="33" t="s">
        <v>91</v>
      </c>
      <c r="I12" s="61"/>
      <c r="J12" s="69" t="s">
        <v>145</v>
      </c>
      <c r="K12" s="42">
        <f t="shared" si="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9" t="s">
        <v>146</v>
      </c>
      <c r="B13" s="63" t="s">
        <v>147</v>
      </c>
      <c r="C13" s="67" t="s">
        <v>136</v>
      </c>
      <c r="D13" s="70" t="s">
        <v>61</v>
      </c>
      <c r="E13" s="41">
        <v>5.0</v>
      </c>
      <c r="F13" s="41">
        <v>5.0</v>
      </c>
      <c r="G13" s="41" t="s">
        <v>57</v>
      </c>
      <c r="H13" s="41" t="s">
        <v>108</v>
      </c>
      <c r="I13" s="64"/>
      <c r="J13" s="69" t="s">
        <v>148</v>
      </c>
      <c r="K13" s="42">
        <f t="shared" si="1"/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8" t="s">
        <v>149</v>
      </c>
      <c r="B14" s="17"/>
      <c r="C14" s="17"/>
      <c r="D14" s="17"/>
      <c r="E14" s="17"/>
      <c r="F14" s="71"/>
      <c r="G14" s="72" t="str">
        <f>COUNTIF(G6:G13,"✅ Complete")&amp;" Complete"</f>
        <v>0 Complete</v>
      </c>
      <c r="H14" s="73" t="str">
        <f>COUNTIF(H6:H13,"🔴 High")&amp;" High Priority"</f>
        <v>4 High Priority</v>
      </c>
      <c r="I14" s="4"/>
      <c r="J14" s="4"/>
      <c r="K14" s="74">
        <f>IFERROR(COUNTIF(G6:G13,"✅ Complete")/(8),0)</f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3"/>
    <mergeCell ref="A14:F14"/>
  </mergeCells>
  <dataValidations>
    <dataValidation type="list" allowBlank="1" sqref="G6:G13">
      <formula1>"✅ Complete,🔄 In Progress,⚠️ At Risk,⬜ Not Started"</formula1>
    </dataValidation>
    <dataValidation type="list" allowBlank="1" sqref="H6:H13">
      <formula1>"🔴 High,🟡 Medium,🟢 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14.0"/>
    <col customWidth="1" min="4" max="4" width="16.0"/>
    <col customWidth="1" min="5" max="6" width="9.0"/>
    <col customWidth="1" min="7" max="7" width="16.0"/>
    <col customWidth="1" min="8" max="8" width="13.0"/>
    <col customWidth="1" min="9" max="9" width="28.0"/>
    <col customWidth="1" min="10" max="10" width="26.0"/>
    <col customWidth="1" min="11" max="11" width="11.0"/>
    <col customWidth="1" min="12" max="26" width="8.71"/>
  </cols>
  <sheetData>
    <row r="1" ht="15.75" customHeight="1">
      <c r="A1" s="76" t="s">
        <v>150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6" t="s">
        <v>47</v>
      </c>
      <c r="B5" s="26" t="s">
        <v>81</v>
      </c>
      <c r="C5" s="26" t="s">
        <v>82</v>
      </c>
      <c r="D5" s="26" t="s">
        <v>51</v>
      </c>
      <c r="E5" s="26" t="s">
        <v>83</v>
      </c>
      <c r="F5" s="26" t="s">
        <v>84</v>
      </c>
      <c r="G5" s="26" t="s">
        <v>32</v>
      </c>
      <c r="H5" s="26" t="s">
        <v>85</v>
      </c>
      <c r="I5" s="26" t="s">
        <v>86</v>
      </c>
      <c r="J5" s="26" t="s">
        <v>87</v>
      </c>
      <c r="K5" s="26" t="s">
        <v>31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4" t="s">
        <v>151</v>
      </c>
      <c r="B6" s="57" t="s">
        <v>152</v>
      </c>
      <c r="C6" s="67" t="s">
        <v>153</v>
      </c>
      <c r="D6" s="68" t="s">
        <v>68</v>
      </c>
      <c r="E6" s="33">
        <v>6.0</v>
      </c>
      <c r="F6" s="33">
        <v>7.0</v>
      </c>
      <c r="G6" s="33" t="s">
        <v>57</v>
      </c>
      <c r="H6" s="33" t="s">
        <v>91</v>
      </c>
      <c r="I6" s="61"/>
      <c r="J6" s="69" t="s">
        <v>154</v>
      </c>
      <c r="K6" s="45">
        <f t="shared" ref="K6:K13" si="1">IF(G6="✅ Complete",1,IF(G6="🔄 In Progress",0.5,0))</f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4" t="s">
        <v>155</v>
      </c>
      <c r="B7" s="63" t="s">
        <v>156</v>
      </c>
      <c r="C7" s="67" t="s">
        <v>153</v>
      </c>
      <c r="D7" s="70" t="s">
        <v>157</v>
      </c>
      <c r="E7" s="41">
        <v>6.0</v>
      </c>
      <c r="F7" s="41">
        <v>7.0</v>
      </c>
      <c r="G7" s="41" t="s">
        <v>57</v>
      </c>
      <c r="H7" s="41" t="s">
        <v>91</v>
      </c>
      <c r="I7" s="64"/>
      <c r="J7" s="69" t="s">
        <v>158</v>
      </c>
      <c r="K7" s="45">
        <f t="shared" si="1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4" t="s">
        <v>159</v>
      </c>
      <c r="B8" s="57" t="s">
        <v>160</v>
      </c>
      <c r="C8" s="67" t="s">
        <v>144</v>
      </c>
      <c r="D8" s="68" t="s">
        <v>68</v>
      </c>
      <c r="E8" s="33">
        <v>7.0</v>
      </c>
      <c r="F8" s="33">
        <v>8.0</v>
      </c>
      <c r="G8" s="33" t="s">
        <v>57</v>
      </c>
      <c r="H8" s="33" t="s">
        <v>91</v>
      </c>
      <c r="I8" s="61"/>
      <c r="J8" s="69" t="s">
        <v>161</v>
      </c>
      <c r="K8" s="45">
        <f t="shared" si="1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4" t="s">
        <v>162</v>
      </c>
      <c r="B9" s="63" t="s">
        <v>163</v>
      </c>
      <c r="C9" s="67" t="s">
        <v>164</v>
      </c>
      <c r="D9" s="70" t="s">
        <v>165</v>
      </c>
      <c r="E9" s="41">
        <v>7.0</v>
      </c>
      <c r="F9" s="41">
        <v>9.0</v>
      </c>
      <c r="G9" s="41" t="s">
        <v>57</v>
      </c>
      <c r="H9" s="41" t="s">
        <v>91</v>
      </c>
      <c r="I9" s="64"/>
      <c r="J9" s="69" t="s">
        <v>166</v>
      </c>
      <c r="K9" s="45">
        <f t="shared" si="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4" t="s">
        <v>167</v>
      </c>
      <c r="B10" s="57" t="s">
        <v>168</v>
      </c>
      <c r="C10" s="67" t="s">
        <v>169</v>
      </c>
      <c r="D10" s="68" t="s">
        <v>68</v>
      </c>
      <c r="E10" s="33">
        <v>8.0</v>
      </c>
      <c r="F10" s="33">
        <v>9.0</v>
      </c>
      <c r="G10" s="33" t="s">
        <v>57</v>
      </c>
      <c r="H10" s="33" t="s">
        <v>108</v>
      </c>
      <c r="I10" s="61"/>
      <c r="J10" s="69" t="s">
        <v>170</v>
      </c>
      <c r="K10" s="45">
        <f t="shared" si="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4" t="s">
        <v>171</v>
      </c>
      <c r="B11" s="63" t="s">
        <v>172</v>
      </c>
      <c r="C11" s="67" t="s">
        <v>173</v>
      </c>
      <c r="D11" s="70" t="s">
        <v>68</v>
      </c>
      <c r="E11" s="41">
        <v>8.0</v>
      </c>
      <c r="F11" s="41">
        <v>9.0</v>
      </c>
      <c r="G11" s="41" t="s">
        <v>57</v>
      </c>
      <c r="H11" s="41" t="s">
        <v>91</v>
      </c>
      <c r="I11" s="64"/>
      <c r="J11" s="69" t="s">
        <v>174</v>
      </c>
      <c r="K11" s="45">
        <f t="shared" si="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4" t="s">
        <v>175</v>
      </c>
      <c r="B12" s="57" t="s">
        <v>176</v>
      </c>
      <c r="C12" s="67" t="s">
        <v>177</v>
      </c>
      <c r="D12" s="68" t="s">
        <v>165</v>
      </c>
      <c r="E12" s="33">
        <v>9.0</v>
      </c>
      <c r="F12" s="33">
        <v>9.0</v>
      </c>
      <c r="G12" s="33" t="s">
        <v>57</v>
      </c>
      <c r="H12" s="33" t="s">
        <v>91</v>
      </c>
      <c r="I12" s="61"/>
      <c r="J12" s="69" t="s">
        <v>178</v>
      </c>
      <c r="K12" s="45">
        <f t="shared" si="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4" t="s">
        <v>179</v>
      </c>
      <c r="B13" s="63" t="s">
        <v>180</v>
      </c>
      <c r="C13" s="67" t="s">
        <v>177</v>
      </c>
      <c r="D13" s="70" t="s">
        <v>68</v>
      </c>
      <c r="E13" s="41">
        <v>9.0</v>
      </c>
      <c r="F13" s="41">
        <v>9.0</v>
      </c>
      <c r="G13" s="41" t="s">
        <v>57</v>
      </c>
      <c r="H13" s="41" t="s">
        <v>108</v>
      </c>
      <c r="I13" s="64"/>
      <c r="J13" s="69" t="s">
        <v>181</v>
      </c>
      <c r="K13" s="45">
        <f t="shared" si="1"/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8" t="s">
        <v>149</v>
      </c>
      <c r="B14" s="17"/>
      <c r="C14" s="17"/>
      <c r="D14" s="17"/>
      <c r="E14" s="17"/>
      <c r="F14" s="71"/>
      <c r="G14" s="72" t="str">
        <f>COUNTIF(G6:G13,"✅ Complete")&amp;" Complete"</f>
        <v>0 Complete</v>
      </c>
      <c r="H14" s="73" t="str">
        <f>COUNTIF(H6:H13,"🔴 High")&amp;" High Priority"</f>
        <v>6 High Priority</v>
      </c>
      <c r="I14" s="4"/>
      <c r="J14" s="4"/>
      <c r="K14" s="74">
        <f>IFERROR(COUNTIF(G6:G13,"✅ Complete")/(8),0)</f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3"/>
    <mergeCell ref="A14:F14"/>
  </mergeCells>
  <dataValidations>
    <dataValidation type="list" allowBlank="1" sqref="G6:G13">
      <formula1>"✅ Complete,🔄 In Progress,⚠️ At Risk,⬜ Not Started"</formula1>
    </dataValidation>
    <dataValidation type="list" allowBlank="1" sqref="H6:H13">
      <formula1>"🔴 High,🟡 Medium,🟢 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14.0"/>
    <col customWidth="1" min="4" max="4" width="16.0"/>
    <col customWidth="1" min="5" max="6" width="9.0"/>
    <col customWidth="1" min="7" max="7" width="16.0"/>
    <col customWidth="1" min="8" max="8" width="13.0"/>
    <col customWidth="1" min="9" max="9" width="28.0"/>
    <col customWidth="1" min="10" max="10" width="26.0"/>
    <col customWidth="1" min="11" max="11" width="11.0"/>
    <col customWidth="1" min="12" max="26" width="8.71"/>
  </cols>
  <sheetData>
    <row r="1" ht="15.75" customHeight="1">
      <c r="A1" s="77" t="s">
        <v>182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6" t="s">
        <v>47</v>
      </c>
      <c r="B5" s="26" t="s">
        <v>81</v>
      </c>
      <c r="C5" s="26" t="s">
        <v>82</v>
      </c>
      <c r="D5" s="26" t="s">
        <v>51</v>
      </c>
      <c r="E5" s="26" t="s">
        <v>83</v>
      </c>
      <c r="F5" s="26" t="s">
        <v>84</v>
      </c>
      <c r="G5" s="26" t="s">
        <v>32</v>
      </c>
      <c r="H5" s="26" t="s">
        <v>85</v>
      </c>
      <c r="I5" s="26" t="s">
        <v>86</v>
      </c>
      <c r="J5" s="26" t="s">
        <v>87</v>
      </c>
      <c r="K5" s="26" t="s">
        <v>31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6" t="s">
        <v>183</v>
      </c>
      <c r="B6" s="57" t="s">
        <v>184</v>
      </c>
      <c r="C6" s="67" t="s">
        <v>177</v>
      </c>
      <c r="D6" s="68" t="s">
        <v>165</v>
      </c>
      <c r="E6" s="33">
        <v>10.0</v>
      </c>
      <c r="F6" s="33">
        <v>10.0</v>
      </c>
      <c r="G6" s="33" t="s">
        <v>57</v>
      </c>
      <c r="H6" s="33" t="s">
        <v>91</v>
      </c>
      <c r="I6" s="61"/>
      <c r="J6" s="69" t="s">
        <v>185</v>
      </c>
      <c r="K6" s="47">
        <f t="shared" ref="K6:K13" si="1">IF(G6="✅ Complete",1,IF(G6="🔄 In Progress",0.5,0))</f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6" t="s">
        <v>186</v>
      </c>
      <c r="B7" s="63" t="s">
        <v>187</v>
      </c>
      <c r="C7" s="67" t="s">
        <v>177</v>
      </c>
      <c r="D7" s="70" t="s">
        <v>61</v>
      </c>
      <c r="E7" s="41">
        <v>10.0</v>
      </c>
      <c r="F7" s="41">
        <v>10.0</v>
      </c>
      <c r="G7" s="41" t="s">
        <v>57</v>
      </c>
      <c r="H7" s="41" t="s">
        <v>91</v>
      </c>
      <c r="I7" s="64"/>
      <c r="J7" s="69" t="s">
        <v>188</v>
      </c>
      <c r="K7" s="47">
        <f t="shared" si="1"/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6" t="s">
        <v>189</v>
      </c>
      <c r="B8" s="57" t="s">
        <v>190</v>
      </c>
      <c r="C8" s="67" t="s">
        <v>177</v>
      </c>
      <c r="D8" s="68" t="s">
        <v>68</v>
      </c>
      <c r="E8" s="33">
        <v>10.0</v>
      </c>
      <c r="F8" s="33">
        <v>11.0</v>
      </c>
      <c r="G8" s="33" t="s">
        <v>57</v>
      </c>
      <c r="H8" s="33" t="s">
        <v>91</v>
      </c>
      <c r="I8" s="61"/>
      <c r="J8" s="69" t="s">
        <v>191</v>
      </c>
      <c r="K8" s="47">
        <f t="shared" si="1"/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6" t="s">
        <v>192</v>
      </c>
      <c r="B9" s="63" t="s">
        <v>193</v>
      </c>
      <c r="C9" s="67" t="s">
        <v>177</v>
      </c>
      <c r="D9" s="70" t="s">
        <v>68</v>
      </c>
      <c r="E9" s="41">
        <v>11.0</v>
      </c>
      <c r="F9" s="41">
        <v>11.0</v>
      </c>
      <c r="G9" s="41" t="s">
        <v>57</v>
      </c>
      <c r="H9" s="41" t="s">
        <v>91</v>
      </c>
      <c r="I9" s="64"/>
      <c r="J9" s="69" t="s">
        <v>194</v>
      </c>
      <c r="K9" s="47">
        <f t="shared" si="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6" t="s">
        <v>195</v>
      </c>
      <c r="B10" s="57" t="s">
        <v>196</v>
      </c>
      <c r="C10" s="67" t="s">
        <v>164</v>
      </c>
      <c r="D10" s="68" t="s">
        <v>197</v>
      </c>
      <c r="E10" s="33">
        <v>11.0</v>
      </c>
      <c r="F10" s="33">
        <v>12.0</v>
      </c>
      <c r="G10" s="33" t="s">
        <v>57</v>
      </c>
      <c r="H10" s="33" t="s">
        <v>108</v>
      </c>
      <c r="I10" s="61"/>
      <c r="J10" s="69" t="s">
        <v>198</v>
      </c>
      <c r="K10" s="47">
        <f t="shared" si="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6" t="s">
        <v>199</v>
      </c>
      <c r="B11" s="63" t="s">
        <v>200</v>
      </c>
      <c r="C11" s="67" t="s">
        <v>201</v>
      </c>
      <c r="D11" s="70" t="s">
        <v>56</v>
      </c>
      <c r="E11" s="41">
        <v>12.0</v>
      </c>
      <c r="F11" s="41">
        <v>12.0</v>
      </c>
      <c r="G11" s="41" t="s">
        <v>57</v>
      </c>
      <c r="H11" s="41" t="s">
        <v>108</v>
      </c>
      <c r="I11" s="64"/>
      <c r="J11" s="69" t="s">
        <v>202</v>
      </c>
      <c r="K11" s="47">
        <f t="shared" si="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6" t="s">
        <v>203</v>
      </c>
      <c r="B12" s="57" t="s">
        <v>204</v>
      </c>
      <c r="C12" s="67" t="s">
        <v>201</v>
      </c>
      <c r="D12" s="68" t="s">
        <v>165</v>
      </c>
      <c r="E12" s="33">
        <v>12.0</v>
      </c>
      <c r="F12" s="33">
        <v>12.0</v>
      </c>
      <c r="G12" s="33" t="s">
        <v>57</v>
      </c>
      <c r="H12" s="33" t="s">
        <v>91</v>
      </c>
      <c r="I12" s="61"/>
      <c r="J12" s="69" t="s">
        <v>205</v>
      </c>
      <c r="K12" s="47">
        <f t="shared" si="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6" t="s">
        <v>206</v>
      </c>
      <c r="B13" s="63" t="s">
        <v>207</v>
      </c>
      <c r="C13" s="67" t="s">
        <v>201</v>
      </c>
      <c r="D13" s="70" t="s">
        <v>56</v>
      </c>
      <c r="E13" s="41">
        <v>12.0</v>
      </c>
      <c r="F13" s="41">
        <v>12.0</v>
      </c>
      <c r="G13" s="41" t="s">
        <v>57</v>
      </c>
      <c r="H13" s="41" t="s">
        <v>108</v>
      </c>
      <c r="I13" s="64"/>
      <c r="J13" s="69" t="s">
        <v>208</v>
      </c>
      <c r="K13" s="47">
        <f t="shared" si="1"/>
        <v>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8" t="s">
        <v>149</v>
      </c>
      <c r="B14" s="17"/>
      <c r="C14" s="17"/>
      <c r="D14" s="17"/>
      <c r="E14" s="17"/>
      <c r="F14" s="71"/>
      <c r="G14" s="72" t="str">
        <f>COUNTIF(G6:G13,"✅ Complete")&amp;" Complete"</f>
        <v>0 Complete</v>
      </c>
      <c r="H14" s="73" t="str">
        <f>COUNTIF(H6:H13,"🔴 High")&amp;" High Priority"</f>
        <v>5 High Priority</v>
      </c>
      <c r="I14" s="4"/>
      <c r="J14" s="4"/>
      <c r="K14" s="74">
        <f>IFERROR(COUNTIF(G6:G13,"✅ Complete")/(8),0)</f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3"/>
    <mergeCell ref="A14:F14"/>
  </mergeCells>
  <dataValidations>
    <dataValidation type="list" allowBlank="1" sqref="G6:G13">
      <formula1>"✅ Complete,🔄 In Progress,⚠️ At Risk,⬜ Not Started"</formula1>
    </dataValidation>
    <dataValidation type="list" allowBlank="1" sqref="H6:H13">
      <formula1>"🔴 High,🟡 Medium,🟢 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E4A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2.0"/>
    <col customWidth="1" min="3" max="4" width="10.0"/>
    <col customWidth="1" min="5" max="6" width="16.0"/>
    <col customWidth="1" min="7" max="7" width="12.0"/>
    <col customWidth="1" min="8" max="8" width="13.0"/>
    <col customWidth="1" min="9" max="9" width="34.0"/>
    <col customWidth="1" min="10" max="26" width="8.71"/>
  </cols>
  <sheetData>
    <row r="1" ht="15.75" customHeight="1">
      <c r="A1" s="78" t="s">
        <v>209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79" t="s">
        <v>210</v>
      </c>
      <c r="B4" s="80" t="s">
        <v>211</v>
      </c>
      <c r="C4" s="81" t="s">
        <v>212</v>
      </c>
      <c r="D4" s="80" t="s">
        <v>213</v>
      </c>
      <c r="E4" s="82" t="s">
        <v>214</v>
      </c>
      <c r="F4" s="80" t="s">
        <v>215</v>
      </c>
      <c r="G4" s="83" t="s">
        <v>216</v>
      </c>
      <c r="H4" s="80" t="s">
        <v>217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26" t="s">
        <v>47</v>
      </c>
      <c r="B6" s="26" t="s">
        <v>218</v>
      </c>
      <c r="C6" s="26" t="s">
        <v>24</v>
      </c>
      <c r="D6" s="25" t="s">
        <v>219</v>
      </c>
      <c r="E6" s="25" t="s">
        <v>19</v>
      </c>
      <c r="F6" s="27" t="s">
        <v>6</v>
      </c>
      <c r="G6" s="27" t="s">
        <v>220</v>
      </c>
      <c r="H6" s="84" t="s">
        <v>13</v>
      </c>
      <c r="I6" s="26" t="s">
        <v>52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85" t="s">
        <v>221</v>
      </c>
      <c r="B7" s="57" t="s">
        <v>222</v>
      </c>
      <c r="C7" s="86" t="s">
        <v>33</v>
      </c>
      <c r="D7" s="31" t="s">
        <v>223</v>
      </c>
      <c r="E7" s="87" t="s">
        <v>214</v>
      </c>
      <c r="F7" s="44" t="s">
        <v>210</v>
      </c>
      <c r="G7" s="87" t="s">
        <v>214</v>
      </c>
      <c r="H7" s="88" t="s">
        <v>216</v>
      </c>
      <c r="I7" s="61" t="s">
        <v>224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85" t="s">
        <v>225</v>
      </c>
      <c r="B8" s="63" t="s">
        <v>226</v>
      </c>
      <c r="C8" s="89" t="s">
        <v>33</v>
      </c>
      <c r="D8" s="39" t="s">
        <v>212</v>
      </c>
      <c r="E8" s="44" t="s">
        <v>210</v>
      </c>
      <c r="F8" s="88" t="s">
        <v>216</v>
      </c>
      <c r="G8" s="87" t="s">
        <v>214</v>
      </c>
      <c r="H8" s="88" t="s">
        <v>216</v>
      </c>
      <c r="I8" s="64" t="s">
        <v>227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85" t="s">
        <v>228</v>
      </c>
      <c r="B9" s="57" t="s">
        <v>229</v>
      </c>
      <c r="C9" s="86" t="s">
        <v>33</v>
      </c>
      <c r="D9" s="87" t="s">
        <v>214</v>
      </c>
      <c r="E9" s="31" t="s">
        <v>223</v>
      </c>
      <c r="F9" s="87" t="s">
        <v>214</v>
      </c>
      <c r="G9" s="44" t="s">
        <v>210</v>
      </c>
      <c r="H9" s="88" t="s">
        <v>216</v>
      </c>
      <c r="I9" s="61" t="s">
        <v>230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85" t="s">
        <v>231</v>
      </c>
      <c r="B10" s="63" t="s">
        <v>232</v>
      </c>
      <c r="C10" s="90" t="s">
        <v>36</v>
      </c>
      <c r="D10" s="88" t="s">
        <v>216</v>
      </c>
      <c r="E10" s="31" t="s">
        <v>223</v>
      </c>
      <c r="F10" s="87" t="s">
        <v>214</v>
      </c>
      <c r="G10" s="44" t="s">
        <v>210</v>
      </c>
      <c r="H10" s="88" t="s">
        <v>216</v>
      </c>
      <c r="I10" s="64" t="s">
        <v>233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85" t="s">
        <v>234</v>
      </c>
      <c r="B11" s="57" t="s">
        <v>235</v>
      </c>
      <c r="C11" s="91" t="s">
        <v>36</v>
      </c>
      <c r="D11" s="88" t="s">
        <v>216</v>
      </c>
      <c r="E11" s="31" t="s">
        <v>223</v>
      </c>
      <c r="F11" s="87" t="s">
        <v>214</v>
      </c>
      <c r="G11" s="44" t="s">
        <v>210</v>
      </c>
      <c r="H11" s="88" t="s">
        <v>216</v>
      </c>
      <c r="I11" s="61" t="s">
        <v>236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85" t="s">
        <v>237</v>
      </c>
      <c r="B12" s="63" t="s">
        <v>238</v>
      </c>
      <c r="C12" s="90" t="s">
        <v>36</v>
      </c>
      <c r="D12" s="87" t="s">
        <v>214</v>
      </c>
      <c r="E12" s="87" t="s">
        <v>214</v>
      </c>
      <c r="F12" s="31" t="s">
        <v>223</v>
      </c>
      <c r="G12" s="87" t="s">
        <v>214</v>
      </c>
      <c r="H12" s="88" t="s">
        <v>216</v>
      </c>
      <c r="I12" s="64" t="s">
        <v>239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85" t="s">
        <v>240</v>
      </c>
      <c r="B13" s="57" t="s">
        <v>241</v>
      </c>
      <c r="C13" s="91" t="s">
        <v>36</v>
      </c>
      <c r="D13" s="87" t="s">
        <v>214</v>
      </c>
      <c r="E13" s="44" t="s">
        <v>210</v>
      </c>
      <c r="F13" s="31" t="s">
        <v>223</v>
      </c>
      <c r="G13" s="88" t="s">
        <v>216</v>
      </c>
      <c r="H13" s="88" t="s">
        <v>216</v>
      </c>
      <c r="I13" s="61" t="s">
        <v>242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85" t="s">
        <v>243</v>
      </c>
      <c r="B14" s="63" t="s">
        <v>244</v>
      </c>
      <c r="C14" s="92" t="s">
        <v>39</v>
      </c>
      <c r="D14" s="39" t="s">
        <v>212</v>
      </c>
      <c r="E14" s="88" t="s">
        <v>216</v>
      </c>
      <c r="F14" s="44" t="s">
        <v>210</v>
      </c>
      <c r="G14" s="87" t="s">
        <v>214</v>
      </c>
      <c r="H14" s="88" t="s">
        <v>216</v>
      </c>
      <c r="I14" s="64" t="s">
        <v>245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85" t="s">
        <v>246</v>
      </c>
      <c r="B15" s="57" t="s">
        <v>247</v>
      </c>
      <c r="C15" s="93" t="s">
        <v>39</v>
      </c>
      <c r="D15" s="87" t="s">
        <v>214</v>
      </c>
      <c r="E15" s="31" t="s">
        <v>223</v>
      </c>
      <c r="F15" s="88" t="s">
        <v>216</v>
      </c>
      <c r="G15" s="44" t="s">
        <v>210</v>
      </c>
      <c r="H15" s="88" t="s">
        <v>216</v>
      </c>
      <c r="I15" s="61" t="s">
        <v>248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85" t="s">
        <v>249</v>
      </c>
      <c r="B16" s="63" t="s">
        <v>250</v>
      </c>
      <c r="C16" s="92" t="s">
        <v>39</v>
      </c>
      <c r="D16" s="39" t="s">
        <v>212</v>
      </c>
      <c r="E16" s="88" t="s">
        <v>216</v>
      </c>
      <c r="F16" s="44" t="s">
        <v>210</v>
      </c>
      <c r="G16" s="87" t="s">
        <v>214</v>
      </c>
      <c r="H16" s="88" t="s">
        <v>216</v>
      </c>
      <c r="I16" s="64" t="s">
        <v>251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85" t="s">
        <v>252</v>
      </c>
      <c r="B17" s="57" t="s">
        <v>253</v>
      </c>
      <c r="C17" s="93" t="s">
        <v>39</v>
      </c>
      <c r="D17" s="39" t="s">
        <v>212</v>
      </c>
      <c r="E17" s="88" t="s">
        <v>216</v>
      </c>
      <c r="F17" s="44" t="s">
        <v>210</v>
      </c>
      <c r="G17" s="87" t="s">
        <v>214</v>
      </c>
      <c r="H17" s="88" t="s">
        <v>216</v>
      </c>
      <c r="I17" s="61" t="s">
        <v>254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85" t="s">
        <v>255</v>
      </c>
      <c r="B18" s="63" t="s">
        <v>256</v>
      </c>
      <c r="C18" s="92" t="s">
        <v>39</v>
      </c>
      <c r="D18" s="39" t="s">
        <v>212</v>
      </c>
      <c r="E18" s="88" t="s">
        <v>216</v>
      </c>
      <c r="F18" s="44" t="s">
        <v>210</v>
      </c>
      <c r="G18" s="88" t="s">
        <v>216</v>
      </c>
      <c r="H18" s="88" t="s">
        <v>216</v>
      </c>
      <c r="I18" s="64" t="s">
        <v>257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85" t="s">
        <v>258</v>
      </c>
      <c r="B19" s="57" t="s">
        <v>259</v>
      </c>
      <c r="C19" s="93" t="s">
        <v>39</v>
      </c>
      <c r="D19" s="87" t="s">
        <v>214</v>
      </c>
      <c r="E19" s="88" t="s">
        <v>216</v>
      </c>
      <c r="F19" s="31" t="s">
        <v>223</v>
      </c>
      <c r="G19" s="88" t="s">
        <v>216</v>
      </c>
      <c r="H19" s="87" t="s">
        <v>214</v>
      </c>
      <c r="I19" s="61" t="s">
        <v>260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85" t="s">
        <v>261</v>
      </c>
      <c r="B20" s="63" t="s">
        <v>262</v>
      </c>
      <c r="C20" s="94" t="s">
        <v>42</v>
      </c>
      <c r="D20" s="87" t="s">
        <v>214</v>
      </c>
      <c r="E20" s="31" t="s">
        <v>223</v>
      </c>
      <c r="F20" s="87" t="s">
        <v>214</v>
      </c>
      <c r="G20" s="88" t="s">
        <v>216</v>
      </c>
      <c r="H20" s="88" t="s">
        <v>216</v>
      </c>
      <c r="I20" s="64" t="s">
        <v>263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85" t="s">
        <v>264</v>
      </c>
      <c r="B21" s="57" t="s">
        <v>265</v>
      </c>
      <c r="C21" s="95" t="s">
        <v>42</v>
      </c>
      <c r="D21" s="39" t="s">
        <v>212</v>
      </c>
      <c r="E21" s="87" t="s">
        <v>214</v>
      </c>
      <c r="F21" s="44" t="s">
        <v>210</v>
      </c>
      <c r="G21" s="87" t="s">
        <v>214</v>
      </c>
      <c r="H21" s="88" t="s">
        <v>216</v>
      </c>
      <c r="I21" s="61" t="s">
        <v>266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85" t="s">
        <v>267</v>
      </c>
      <c r="B22" s="63" t="s">
        <v>268</v>
      </c>
      <c r="C22" s="94" t="s">
        <v>42</v>
      </c>
      <c r="D22" s="39" t="s">
        <v>212</v>
      </c>
      <c r="E22" s="44" t="s">
        <v>210</v>
      </c>
      <c r="F22" s="87" t="s">
        <v>214</v>
      </c>
      <c r="G22" s="44" t="s">
        <v>210</v>
      </c>
      <c r="H22" s="88" t="s">
        <v>216</v>
      </c>
      <c r="I22" s="64" t="s">
        <v>269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85" t="s">
        <v>270</v>
      </c>
      <c r="B23" s="57" t="s">
        <v>271</v>
      </c>
      <c r="C23" s="95" t="s">
        <v>42</v>
      </c>
      <c r="D23" s="39" t="s">
        <v>212</v>
      </c>
      <c r="E23" s="87" t="s">
        <v>214</v>
      </c>
      <c r="F23" s="44" t="s">
        <v>210</v>
      </c>
      <c r="G23" s="87" t="s">
        <v>214</v>
      </c>
      <c r="H23" s="44" t="s">
        <v>210</v>
      </c>
      <c r="I23" s="61" t="s">
        <v>272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K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12.0"/>
    <col customWidth="1" min="4" max="4" width="22.0"/>
    <col customWidth="1" min="5" max="5" width="13.0"/>
    <col customWidth="1" min="6" max="7" width="14.0"/>
    <col customWidth="1" min="8" max="8" width="11.0"/>
    <col customWidth="1" min="9" max="9" width="14.0"/>
    <col customWidth="1" min="10" max="10" width="26.0"/>
    <col customWidth="1" min="11" max="26" width="8.71"/>
  </cols>
  <sheetData>
    <row r="1" ht="15.75" customHeight="1">
      <c r="A1" s="76" t="s">
        <v>273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6" t="s">
        <v>47</v>
      </c>
      <c r="B5" s="26" t="s">
        <v>274</v>
      </c>
      <c r="C5" s="26" t="s">
        <v>82</v>
      </c>
      <c r="D5" s="27" t="s">
        <v>275</v>
      </c>
      <c r="E5" s="26" t="s">
        <v>276</v>
      </c>
      <c r="F5" s="26" t="s">
        <v>277</v>
      </c>
      <c r="G5" s="26" t="s">
        <v>32</v>
      </c>
      <c r="H5" s="26" t="s">
        <v>278</v>
      </c>
      <c r="I5" s="26" t="s">
        <v>51</v>
      </c>
      <c r="J5" s="26" t="s">
        <v>52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44" t="s">
        <v>279</v>
      </c>
      <c r="B6" s="57" t="s">
        <v>280</v>
      </c>
      <c r="C6" s="67" t="s">
        <v>281</v>
      </c>
      <c r="D6" s="96" t="s">
        <v>282</v>
      </c>
      <c r="E6" s="33" t="s">
        <v>283</v>
      </c>
      <c r="F6" s="58"/>
      <c r="G6" s="33" t="s">
        <v>284</v>
      </c>
      <c r="H6" s="33"/>
      <c r="I6" s="97" t="s">
        <v>56</v>
      </c>
      <c r="J6" s="6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44" t="s">
        <v>285</v>
      </c>
      <c r="B7" s="63" t="s">
        <v>286</v>
      </c>
      <c r="C7" s="98" t="s">
        <v>122</v>
      </c>
      <c r="D7" s="96" t="s">
        <v>287</v>
      </c>
      <c r="E7" s="41" t="s">
        <v>288</v>
      </c>
      <c r="F7" s="58"/>
      <c r="G7" s="41" t="s">
        <v>284</v>
      </c>
      <c r="H7" s="41"/>
      <c r="I7" s="99" t="s">
        <v>61</v>
      </c>
      <c r="J7" s="6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4" t="s">
        <v>289</v>
      </c>
      <c r="B8" s="57" t="s">
        <v>290</v>
      </c>
      <c r="C8" s="100" t="s">
        <v>291</v>
      </c>
      <c r="D8" s="96" t="s">
        <v>292</v>
      </c>
      <c r="E8" s="33" t="s">
        <v>293</v>
      </c>
      <c r="F8" s="58"/>
      <c r="G8" s="33" t="s">
        <v>284</v>
      </c>
      <c r="H8" s="33"/>
      <c r="I8" s="97" t="s">
        <v>61</v>
      </c>
      <c r="J8" s="6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4" t="s">
        <v>294</v>
      </c>
      <c r="B9" s="63" t="s">
        <v>295</v>
      </c>
      <c r="C9" s="100" t="s">
        <v>153</v>
      </c>
      <c r="D9" s="96" t="s">
        <v>296</v>
      </c>
      <c r="E9" s="41" t="s">
        <v>297</v>
      </c>
      <c r="F9" s="58"/>
      <c r="G9" s="41" t="s">
        <v>284</v>
      </c>
      <c r="H9" s="41"/>
      <c r="I9" s="99" t="s">
        <v>68</v>
      </c>
      <c r="J9" s="6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4" t="s">
        <v>298</v>
      </c>
      <c r="B10" s="57" t="s">
        <v>299</v>
      </c>
      <c r="C10" s="101" t="s">
        <v>144</v>
      </c>
      <c r="D10" s="96" t="s">
        <v>300</v>
      </c>
      <c r="E10" s="33" t="s">
        <v>301</v>
      </c>
      <c r="F10" s="58"/>
      <c r="G10" s="33" t="s">
        <v>284</v>
      </c>
      <c r="H10" s="33"/>
      <c r="I10" s="97" t="s">
        <v>56</v>
      </c>
      <c r="J10" s="6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4" t="s">
        <v>302</v>
      </c>
      <c r="B11" s="63" t="s">
        <v>303</v>
      </c>
      <c r="C11" s="101" t="s">
        <v>164</v>
      </c>
      <c r="D11" s="96" t="s">
        <v>304</v>
      </c>
      <c r="E11" s="41" t="s">
        <v>301</v>
      </c>
      <c r="F11" s="58"/>
      <c r="G11" s="41" t="s">
        <v>284</v>
      </c>
      <c r="H11" s="41"/>
      <c r="I11" s="99" t="s">
        <v>56</v>
      </c>
      <c r="J11" s="6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4" t="s">
        <v>305</v>
      </c>
      <c r="B12" s="57" t="s">
        <v>306</v>
      </c>
      <c r="C12" s="102" t="s">
        <v>169</v>
      </c>
      <c r="D12" s="96" t="s">
        <v>307</v>
      </c>
      <c r="E12" s="33" t="s">
        <v>308</v>
      </c>
      <c r="F12" s="58"/>
      <c r="G12" s="33" t="s">
        <v>284</v>
      </c>
      <c r="H12" s="33"/>
      <c r="I12" s="97" t="s">
        <v>68</v>
      </c>
      <c r="J12" s="6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4" t="s">
        <v>309</v>
      </c>
      <c r="B13" s="63" t="s">
        <v>310</v>
      </c>
      <c r="C13" s="103" t="s">
        <v>173</v>
      </c>
      <c r="D13" s="96" t="s">
        <v>311</v>
      </c>
      <c r="E13" s="41" t="s">
        <v>301</v>
      </c>
      <c r="F13" s="58"/>
      <c r="G13" s="41" t="s">
        <v>284</v>
      </c>
      <c r="H13" s="41"/>
      <c r="I13" s="99" t="s">
        <v>68</v>
      </c>
      <c r="J13" s="6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4" t="s">
        <v>312</v>
      </c>
      <c r="B14" s="57" t="s">
        <v>313</v>
      </c>
      <c r="C14" s="104" t="s">
        <v>177</v>
      </c>
      <c r="D14" s="96" t="s">
        <v>314</v>
      </c>
      <c r="E14" s="33" t="s">
        <v>315</v>
      </c>
      <c r="F14" s="58"/>
      <c r="G14" s="33" t="s">
        <v>284</v>
      </c>
      <c r="H14" s="33"/>
      <c r="I14" s="97" t="s">
        <v>56</v>
      </c>
      <c r="J14" s="6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4" t="s">
        <v>316</v>
      </c>
      <c r="B15" s="63" t="s">
        <v>317</v>
      </c>
      <c r="C15" s="104" t="s">
        <v>177</v>
      </c>
      <c r="D15" s="96" t="s">
        <v>318</v>
      </c>
      <c r="E15" s="41" t="s">
        <v>319</v>
      </c>
      <c r="F15" s="58"/>
      <c r="G15" s="41" t="s">
        <v>284</v>
      </c>
      <c r="H15" s="41"/>
      <c r="I15" s="99" t="s">
        <v>56</v>
      </c>
      <c r="J15" s="6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4" t="s">
        <v>320</v>
      </c>
      <c r="B16" s="57" t="s">
        <v>321</v>
      </c>
      <c r="C16" s="67" t="s">
        <v>322</v>
      </c>
      <c r="D16" s="96" t="s">
        <v>323</v>
      </c>
      <c r="E16" s="33" t="s">
        <v>315</v>
      </c>
      <c r="F16" s="58"/>
      <c r="G16" s="33" t="s">
        <v>284</v>
      </c>
      <c r="H16" s="33"/>
      <c r="I16" s="97" t="s">
        <v>56</v>
      </c>
      <c r="J16" s="6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3"/>
  </mergeCells>
  <dataValidations>
    <dataValidation type="list" allowBlank="1" sqref="H6:H16">
      <formula1>"↑ Improving,→ Stable,↓ Declining,— N/A"</formula1>
    </dataValidation>
    <dataValidation type="list" allowBlank="1" sqref="G6:G16">
      <formula1>"✅ On Target,⚠️ At Risk,❌ Off Target,⬜ Not Yet Due"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13.0"/>
    <col customWidth="1" min="4" max="4" width="11.0"/>
    <col customWidth="1" min="5" max="5" width="9.0"/>
    <col customWidth="1" min="6" max="6" width="10.0"/>
    <col customWidth="1" min="7" max="7" width="36.0"/>
    <col customWidth="1" min="8" max="8" width="14.0"/>
    <col customWidth="1" min="9" max="9" width="11.0"/>
    <col customWidth="1" min="10" max="10" width="24.0"/>
    <col customWidth="1" min="11" max="26" width="8.71"/>
  </cols>
  <sheetData>
    <row r="1" ht="15.75" customHeight="1">
      <c r="A1" s="105" t="s">
        <v>324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/>
      <c r="B3" s="8"/>
      <c r="C3" s="8"/>
      <c r="D3" s="8"/>
      <c r="E3" s="8"/>
      <c r="F3" s="8"/>
      <c r="G3" s="8"/>
      <c r="H3" s="8"/>
      <c r="I3" s="8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26" t="s">
        <v>325</v>
      </c>
      <c r="B5" s="26" t="s">
        <v>326</v>
      </c>
      <c r="C5" s="26" t="s">
        <v>82</v>
      </c>
      <c r="D5" s="26" t="s">
        <v>327</v>
      </c>
      <c r="E5" s="26" t="s">
        <v>328</v>
      </c>
      <c r="F5" s="26" t="s">
        <v>329</v>
      </c>
      <c r="G5" s="26" t="s">
        <v>330</v>
      </c>
      <c r="H5" s="26" t="s">
        <v>51</v>
      </c>
      <c r="I5" s="26" t="s">
        <v>32</v>
      </c>
      <c r="J5" s="26" t="s">
        <v>331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106" t="s">
        <v>332</v>
      </c>
      <c r="B6" s="57" t="s">
        <v>333</v>
      </c>
      <c r="C6" s="67" t="s">
        <v>334</v>
      </c>
      <c r="D6" s="35" t="s">
        <v>335</v>
      </c>
      <c r="E6" s="107" t="s">
        <v>336</v>
      </c>
      <c r="F6" s="108">
        <v>6.0</v>
      </c>
      <c r="G6" s="109" t="s">
        <v>337</v>
      </c>
      <c r="H6" s="38" t="s">
        <v>61</v>
      </c>
      <c r="I6" s="33" t="s">
        <v>338</v>
      </c>
      <c r="J6" s="6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106" t="s">
        <v>339</v>
      </c>
      <c r="B7" s="63" t="s">
        <v>340</v>
      </c>
      <c r="C7" s="67" t="s">
        <v>341</v>
      </c>
      <c r="D7" s="35" t="s">
        <v>335</v>
      </c>
      <c r="E7" s="35" t="s">
        <v>335</v>
      </c>
      <c r="F7" s="110">
        <v>4.0</v>
      </c>
      <c r="G7" s="111" t="s">
        <v>342</v>
      </c>
      <c r="H7" s="43" t="s">
        <v>56</v>
      </c>
      <c r="I7" s="41" t="s">
        <v>338</v>
      </c>
      <c r="J7" s="6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106" t="s">
        <v>343</v>
      </c>
      <c r="B8" s="57" t="s">
        <v>344</v>
      </c>
      <c r="C8" s="67" t="s">
        <v>345</v>
      </c>
      <c r="D8" s="34" t="s">
        <v>346</v>
      </c>
      <c r="E8" s="107" t="s">
        <v>336</v>
      </c>
      <c r="F8" s="110">
        <v>3.0</v>
      </c>
      <c r="G8" s="109" t="s">
        <v>347</v>
      </c>
      <c r="H8" s="38" t="s">
        <v>348</v>
      </c>
      <c r="I8" s="33" t="s">
        <v>338</v>
      </c>
      <c r="J8" s="6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106" t="s">
        <v>349</v>
      </c>
      <c r="B9" s="63" t="s">
        <v>350</v>
      </c>
      <c r="C9" s="67" t="s">
        <v>351</v>
      </c>
      <c r="D9" s="34" t="s">
        <v>346</v>
      </c>
      <c r="E9" s="107" t="s">
        <v>336</v>
      </c>
      <c r="F9" s="110">
        <v>3.0</v>
      </c>
      <c r="G9" s="111" t="s">
        <v>352</v>
      </c>
      <c r="H9" s="43" t="s">
        <v>56</v>
      </c>
      <c r="I9" s="41" t="s">
        <v>338</v>
      </c>
      <c r="J9" s="6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106" t="s">
        <v>353</v>
      </c>
      <c r="B10" s="57" t="s">
        <v>354</v>
      </c>
      <c r="C10" s="67" t="s">
        <v>355</v>
      </c>
      <c r="D10" s="34" t="s">
        <v>346</v>
      </c>
      <c r="E10" s="107" t="s">
        <v>336</v>
      </c>
      <c r="F10" s="110">
        <v>3.0</v>
      </c>
      <c r="G10" s="109" t="s">
        <v>356</v>
      </c>
      <c r="H10" s="38" t="s">
        <v>56</v>
      </c>
      <c r="I10" s="33" t="s">
        <v>338</v>
      </c>
      <c r="J10" s="6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106" t="s">
        <v>357</v>
      </c>
      <c r="B11" s="63" t="s">
        <v>358</v>
      </c>
      <c r="C11" s="67" t="s">
        <v>334</v>
      </c>
      <c r="D11" s="34" t="s">
        <v>346</v>
      </c>
      <c r="E11" s="107" t="s">
        <v>336</v>
      </c>
      <c r="F11" s="110">
        <v>3.0</v>
      </c>
      <c r="G11" s="111" t="s">
        <v>359</v>
      </c>
      <c r="H11" s="43" t="s">
        <v>61</v>
      </c>
      <c r="I11" s="41" t="s">
        <v>338</v>
      </c>
      <c r="J11" s="6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106" t="s">
        <v>360</v>
      </c>
      <c r="B12" s="57" t="s">
        <v>361</v>
      </c>
      <c r="C12" s="67" t="s">
        <v>362</v>
      </c>
      <c r="D12" s="35" t="s">
        <v>335</v>
      </c>
      <c r="E12" s="107" t="s">
        <v>336</v>
      </c>
      <c r="F12" s="108">
        <v>6.0</v>
      </c>
      <c r="G12" s="109" t="s">
        <v>363</v>
      </c>
      <c r="H12" s="38" t="s">
        <v>68</v>
      </c>
      <c r="I12" s="33" t="s">
        <v>338</v>
      </c>
      <c r="J12" s="6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106" t="s">
        <v>364</v>
      </c>
      <c r="B13" s="63" t="s">
        <v>365</v>
      </c>
      <c r="C13" s="67" t="s">
        <v>169</v>
      </c>
      <c r="D13" s="35" t="s">
        <v>335</v>
      </c>
      <c r="E13" s="35" t="s">
        <v>335</v>
      </c>
      <c r="F13" s="110">
        <v>4.0</v>
      </c>
      <c r="G13" s="111" t="s">
        <v>366</v>
      </c>
      <c r="H13" s="43" t="s">
        <v>68</v>
      </c>
      <c r="I13" s="41" t="s">
        <v>338</v>
      </c>
      <c r="J13" s="6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3"/>
  </mergeCells>
  <dataValidations>
    <dataValidation type="list" allowBlank="1" sqref="I6:I13">
      <formula1>"Open,Mitigated,Accepted,Closed"</formula1>
    </dataValidation>
    <dataValidation type="list" allowBlank="1" sqref="D6:E13">
      <formula1>"High,Medium,Low"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16.0"/>
    <col customWidth="1" min="4" max="4" width="24.0"/>
    <col customWidth="1" min="5" max="5" width="30.0"/>
    <col customWidth="1" min="6" max="6" width="32.0"/>
    <col customWidth="1" min="7" max="7" width="14.0"/>
    <col customWidth="1" min="8" max="8" width="12.0"/>
    <col customWidth="1" min="9" max="26" width="8.71"/>
  </cols>
  <sheetData>
    <row r="1" ht="15.75" customHeight="1">
      <c r="A1" s="112" t="s">
        <v>367</v>
      </c>
      <c r="B1" s="2"/>
      <c r="C1" s="2"/>
      <c r="D1" s="2"/>
      <c r="E1" s="2"/>
      <c r="F1" s="2"/>
      <c r="G1" s="2"/>
      <c r="H1" s="3"/>
    </row>
    <row r="2" ht="15.75" customHeight="1">
      <c r="A2" s="5"/>
      <c r="H2" s="6"/>
    </row>
    <row r="3" ht="15.75" customHeight="1">
      <c r="A3" s="7"/>
      <c r="B3" s="8"/>
      <c r="C3" s="8"/>
      <c r="D3" s="8"/>
      <c r="E3" s="8"/>
      <c r="F3" s="8"/>
      <c r="G3" s="8"/>
      <c r="H3" s="9"/>
    </row>
    <row r="4" ht="9.75" customHeight="1"/>
    <row r="5" ht="21.75" customHeight="1">
      <c r="A5" s="26" t="s">
        <v>368</v>
      </c>
      <c r="B5" s="26" t="s">
        <v>369</v>
      </c>
      <c r="C5" s="26" t="s">
        <v>370</v>
      </c>
      <c r="D5" s="26" t="s">
        <v>371</v>
      </c>
      <c r="E5" s="26" t="s">
        <v>372</v>
      </c>
      <c r="F5" s="26" t="s">
        <v>373</v>
      </c>
      <c r="G5" s="26" t="s">
        <v>51</v>
      </c>
      <c r="H5" s="26" t="s">
        <v>374</v>
      </c>
    </row>
    <row r="6" ht="30.0" customHeight="1">
      <c r="A6" s="58" t="s">
        <v>55</v>
      </c>
      <c r="B6" s="32" t="s">
        <v>375</v>
      </c>
      <c r="C6" s="67" t="s">
        <v>90</v>
      </c>
      <c r="D6" s="61" t="s">
        <v>376</v>
      </c>
      <c r="E6" s="57" t="s">
        <v>377</v>
      </c>
      <c r="F6" s="113" t="s">
        <v>378</v>
      </c>
      <c r="G6" s="97" t="s">
        <v>56</v>
      </c>
      <c r="H6" s="114" t="s">
        <v>55</v>
      </c>
    </row>
    <row r="7" ht="30.0" customHeight="1">
      <c r="A7" s="58" t="s">
        <v>55</v>
      </c>
      <c r="B7" s="40" t="s">
        <v>379</v>
      </c>
      <c r="C7" s="67" t="s">
        <v>380</v>
      </c>
      <c r="D7" s="64" t="s">
        <v>126</v>
      </c>
      <c r="E7" s="63" t="s">
        <v>381</v>
      </c>
      <c r="F7" s="113" t="s">
        <v>382</v>
      </c>
      <c r="G7" s="99" t="s">
        <v>61</v>
      </c>
      <c r="H7" s="114" t="s">
        <v>55</v>
      </c>
    </row>
    <row r="8" ht="30.0" customHeight="1">
      <c r="A8" s="58" t="s">
        <v>60</v>
      </c>
      <c r="B8" s="32" t="s">
        <v>383</v>
      </c>
      <c r="C8" s="67" t="s">
        <v>384</v>
      </c>
      <c r="D8" s="61" t="s">
        <v>165</v>
      </c>
      <c r="E8" s="57" t="s">
        <v>385</v>
      </c>
      <c r="F8" s="113" t="s">
        <v>386</v>
      </c>
      <c r="G8" s="97" t="s">
        <v>56</v>
      </c>
      <c r="H8" s="114" t="s">
        <v>60</v>
      </c>
    </row>
    <row r="9" ht="30.0" customHeight="1">
      <c r="A9" s="58" t="s">
        <v>387</v>
      </c>
      <c r="B9" s="40" t="s">
        <v>388</v>
      </c>
      <c r="C9" s="67" t="s">
        <v>384</v>
      </c>
      <c r="D9" s="64" t="s">
        <v>165</v>
      </c>
      <c r="E9" s="63"/>
      <c r="F9" s="113"/>
      <c r="G9" s="99" t="s">
        <v>56</v>
      </c>
      <c r="H9" s="114" t="s">
        <v>387</v>
      </c>
    </row>
    <row r="10" ht="30.0" customHeight="1">
      <c r="A10" s="58" t="s">
        <v>389</v>
      </c>
      <c r="B10" s="32" t="s">
        <v>390</v>
      </c>
      <c r="C10" s="67" t="s">
        <v>384</v>
      </c>
      <c r="D10" s="61" t="s">
        <v>165</v>
      </c>
      <c r="E10" s="57"/>
      <c r="F10" s="113"/>
      <c r="G10" s="97" t="s">
        <v>56</v>
      </c>
      <c r="H10" s="114" t="s">
        <v>389</v>
      </c>
    </row>
    <row r="11" ht="30.0" customHeight="1">
      <c r="A11" s="58" t="s">
        <v>64</v>
      </c>
      <c r="B11" s="40" t="s">
        <v>391</v>
      </c>
      <c r="C11" s="67" t="s">
        <v>380</v>
      </c>
      <c r="D11" s="64" t="s">
        <v>126</v>
      </c>
      <c r="E11" s="63"/>
      <c r="F11" s="113"/>
      <c r="G11" s="99" t="s">
        <v>61</v>
      </c>
      <c r="H11" s="114" t="s">
        <v>64</v>
      </c>
    </row>
    <row r="12" ht="30.0" customHeight="1">
      <c r="A12" s="58" t="s">
        <v>392</v>
      </c>
      <c r="B12" s="32" t="s">
        <v>393</v>
      </c>
      <c r="C12" s="67" t="s">
        <v>384</v>
      </c>
      <c r="D12" s="61" t="s">
        <v>165</v>
      </c>
      <c r="E12" s="57"/>
      <c r="F12" s="113"/>
      <c r="G12" s="97" t="s">
        <v>56</v>
      </c>
      <c r="H12" s="114" t="s">
        <v>392</v>
      </c>
    </row>
    <row r="13" ht="30.0" customHeight="1">
      <c r="A13" s="58" t="s">
        <v>394</v>
      </c>
      <c r="B13" s="40" t="s">
        <v>395</v>
      </c>
      <c r="C13" s="67" t="s">
        <v>396</v>
      </c>
      <c r="D13" s="64" t="s">
        <v>397</v>
      </c>
      <c r="E13" s="63"/>
      <c r="F13" s="113"/>
      <c r="G13" s="99" t="s">
        <v>56</v>
      </c>
      <c r="H13" s="114" t="s">
        <v>394</v>
      </c>
    </row>
    <row r="14" ht="30.0" customHeight="1">
      <c r="A14" s="58" t="s">
        <v>71</v>
      </c>
      <c r="B14" s="32" t="s">
        <v>398</v>
      </c>
      <c r="C14" s="67" t="s">
        <v>384</v>
      </c>
      <c r="D14" s="61" t="s">
        <v>399</v>
      </c>
      <c r="E14" s="57"/>
      <c r="F14" s="113"/>
      <c r="G14" s="97" t="s">
        <v>56</v>
      </c>
      <c r="H14" s="114" t="s">
        <v>71</v>
      </c>
    </row>
    <row r="15" ht="30.0" customHeight="1">
      <c r="A15" s="58" t="s">
        <v>400</v>
      </c>
      <c r="B15" s="40" t="s">
        <v>401</v>
      </c>
      <c r="C15" s="67" t="s">
        <v>380</v>
      </c>
      <c r="D15" s="64" t="s">
        <v>157</v>
      </c>
      <c r="E15" s="63"/>
      <c r="F15" s="113"/>
      <c r="G15" s="99" t="s">
        <v>61</v>
      </c>
      <c r="H15" s="114" t="s">
        <v>400</v>
      </c>
    </row>
    <row r="16" ht="30.0" customHeight="1">
      <c r="A16" s="58" t="s">
        <v>79</v>
      </c>
      <c r="B16" s="32" t="s">
        <v>402</v>
      </c>
      <c r="C16" s="67" t="s">
        <v>384</v>
      </c>
      <c r="D16" s="61" t="s">
        <v>403</v>
      </c>
      <c r="E16" s="57"/>
      <c r="F16" s="113"/>
      <c r="G16" s="97" t="s">
        <v>56</v>
      </c>
      <c r="H16" s="114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3"/>
  </mergeCells>
  <dataValidations>
    <dataValidation type="list" allowBlank="1" sqref="C6:C16">
      <formula1>"Kickoff,Weekly Sync,Technical Check-in,Exec Update,Email,Slack,Ad-hoc,QBR"</formula1>
    </dataValidation>
  </dataValidations>
  <printOptions/>
  <pageMargins bottom="1.0" footer="0.0" header="0.0" left="0.75" right="0.75" top="1.0"/>
  <pageSetup paperSize="9" orientation="portrait"/>
  <drawing r:id="rId1"/>
</worksheet>
</file>